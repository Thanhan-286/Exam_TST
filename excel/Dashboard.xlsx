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ownload by browser\Learning PBI\Test_TST\bi-case-study\bi-case-study\excel\"/>
    </mc:Choice>
  </mc:AlternateContent>
  <xr:revisionPtr revIDLastSave="0" documentId="13_ncr:1_{AA903F2F-3994-452F-A69C-FE62AA0D41F0}" xr6:coauthVersionLast="47" xr6:coauthVersionMax="47" xr10:uidLastSave="{00000000-0000-0000-0000-000000000000}"/>
  <bookViews>
    <workbookView xWindow="-108" yWindow="-108" windowWidth="23256" windowHeight="12456" firstSheet="15" activeTab="22" xr2:uid="{00000000-000D-0000-FFFF-FFFF00000000}"/>
  </bookViews>
  <sheets>
    <sheet name="fact_sales" sheetId="1" r:id="rId1"/>
    <sheet name="inv_item" sheetId="2" r:id="rId2"/>
    <sheet name="inv_row" sheetId="3" r:id="rId3"/>
    <sheet name="plan" sheetId="4" r:id="rId4"/>
    <sheet name="dim_product" sheetId="5" r:id="rId5"/>
    <sheet name="dim_customer" sheetId="6" r:id="rId6"/>
    <sheet name="dim_warehouse" sheetId="7" r:id="rId7"/>
    <sheet name="prod_gp" sheetId="8" r:id="rId8"/>
    <sheet name="ach_month" sheetId="9" r:id="rId9"/>
    <sheet name="ach_region" sheetId="10" r:id="rId10"/>
    <sheet name="ach_cat" sheetId="11" r:id="rId11"/>
    <sheet name="scatter" sheetId="12" r:id="rId12"/>
    <sheet name="recon" sheetId="13" r:id="rId13"/>
    <sheet name="scenarios" sheetId="14" r:id="rId14"/>
    <sheet name="checklist" sheetId="15" r:id="rId15"/>
    <sheet name="tiers" sheetId="16" r:id="rId16"/>
    <sheet name="neg_tbl" sheetId="17" r:id="rId17"/>
    <sheet name="disc_tbl" sheetId="18" r:id="rId18"/>
    <sheet name="audit" sheetId="19" r:id="rId19"/>
    <sheet name="pv_score" sheetId="20" r:id="rId20"/>
    <sheet name="waterfall" sheetId="21" r:id="rId21"/>
    <sheet name="1. Executive Sales" sheetId="22" r:id="rId22"/>
    <sheet name="2. Inventory" sheetId="23" r:id="rId23"/>
    <sheet name="3. Data Quality" sheetId="24" r:id="rId24"/>
  </sheets>
  <definedNames>
    <definedName name="Slicer_ABC_Class">#N/A</definedName>
    <definedName name="Slicer_CategoryName">#N/A</definedName>
    <definedName name="Slicer_Channel">#N/A</definedName>
    <definedName name="Slicer_CustRegion">#N/A</definedName>
    <definedName name="Slicer_ItemStatus">#N/A</definedName>
    <definedName name="Slicer_Month">#N/A</definedName>
    <definedName name="Slicer_WarehouseName">#N/A</definedName>
  </definedNames>
  <calcPr calcId="191029"/>
  <pivotCaches>
    <pivotCache cacheId="0" r:id="rId25"/>
    <pivotCache cacheId="1" r:id="rId26"/>
  </pivotCaches>
  <extLst>
    <ext xmlns:x14="http://schemas.microsoft.com/office/spreadsheetml/2009/9/main" uri="{BBE1A952-AA13-448e-AADC-164F8A28A991}">
      <x14:slicerCaches>
        <x14:slicerCache r:id="rId27"/>
        <x14:slicerCache r:id="rId28"/>
        <x14:slicerCache r:id="rId29"/>
        <x14:slicerCache r:id="rId30"/>
        <x14:slicerCache r:id="rId31"/>
        <x14:slicerCache r:id="rId32"/>
        <x14:slicerCache r:id="rId3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H6" i="24" l="1"/>
  <c r="Z6" i="24"/>
  <c r="R6" i="24"/>
  <c r="J6" i="24"/>
  <c r="B6" i="24"/>
  <c r="AL6" i="22"/>
  <c r="AD6" i="22"/>
  <c r="V6" i="22"/>
  <c r="L6" i="22"/>
  <c r="B6" i="22"/>
  <c r="L6" i="23"/>
  <c r="AD6" i="23"/>
  <c r="V6" i="23"/>
  <c r="AL6" i="23"/>
  <c r="B6" i="23"/>
</calcChain>
</file>

<file path=xl/sharedStrings.xml><?xml version="1.0" encoding="utf-8"?>
<sst xmlns="http://schemas.openxmlformats.org/spreadsheetml/2006/main" count="10977" uniqueCount="799">
  <si>
    <t>DocDate</t>
  </si>
  <si>
    <t>OrderNo</t>
  </si>
  <si>
    <t>LineNo</t>
  </si>
  <si>
    <t>CustomerCode</t>
  </si>
  <si>
    <t>ItemCode</t>
  </si>
  <si>
    <t>WarehouseCode</t>
  </si>
  <si>
    <t>QtyOrder</t>
  </si>
  <si>
    <t>QtyDelivered</t>
  </si>
  <si>
    <t>UnitPrice</t>
  </si>
  <si>
    <t>DiscountPct</t>
  </si>
  <si>
    <t>DocStatus</t>
  </si>
  <si>
    <t>DeliveryDueDate</t>
  </si>
  <si>
    <t>ActualDeliveryDate</t>
  </si>
  <si>
    <t>Salesperson</t>
  </si>
  <si>
    <t>Note</t>
  </si>
  <si>
    <t>src_row_index</t>
  </si>
  <si>
    <t>CustomerName</t>
  </si>
  <si>
    <t>CustRegion</t>
  </si>
  <si>
    <t>Channel</t>
  </si>
  <si>
    <t>CustomerStatus</t>
  </si>
  <si>
    <t>ItemName</t>
  </si>
  <si>
    <t>CategoryCode</t>
  </si>
  <si>
    <t>CategoryName</t>
  </si>
  <si>
    <t>StandardCost</t>
  </si>
  <si>
    <t>ListPrice</t>
  </si>
  <si>
    <t>ItemStatus</t>
  </si>
  <si>
    <t>ABC_Class</t>
  </si>
  <si>
    <t>WarehouseName</t>
  </si>
  <si>
    <t>WhRegion</t>
  </si>
  <si>
    <t>Month</t>
  </si>
  <si>
    <t>RevenueNet</t>
  </si>
  <si>
    <t>COGS</t>
  </si>
  <si>
    <t>GrossProfit</t>
  </si>
  <si>
    <t>HasCost</t>
  </si>
  <si>
    <t>Delivered</t>
  </si>
  <si>
    <t>OnTime</t>
  </si>
  <si>
    <t>DaysLate</t>
  </si>
  <si>
    <t>FillScope</t>
  </si>
  <si>
    <t>IsReturn</t>
  </si>
  <si>
    <t>RevHasCost</t>
  </si>
  <si>
    <t>GPHasCost</t>
  </si>
  <si>
    <t>QtyDelivFill</t>
  </si>
  <si>
    <t>QtyOrderFill</t>
  </si>
  <si>
    <t>OnTimeNum</t>
  </si>
  <si>
    <t>OnTimeDen</t>
  </si>
  <si>
    <t>ReturnVal</t>
  </si>
  <si>
    <t>GPForRank</t>
  </si>
  <si>
    <t>SO2603-0030</t>
  </si>
  <si>
    <t>KH036</t>
  </si>
  <si>
    <t>VT010</t>
  </si>
  <si>
    <t>WH_DN</t>
  </si>
  <si>
    <t>Completed</t>
  </si>
  <si>
    <t>NV Chi</t>
  </si>
  <si>
    <t>Khách hàng 036</t>
  </si>
  <si>
    <t>Miền Trung</t>
  </si>
  <si>
    <t>Bán lẻ</t>
  </si>
  <si>
    <t>Active</t>
  </si>
  <si>
    <t>Phụ tùng nhanh 10</t>
  </si>
  <si>
    <t>CAT04</t>
  </si>
  <si>
    <t>Phụ tùng nhanh</t>
  </si>
  <si>
    <t>A</t>
  </si>
  <si>
    <t>Kho Đà Nẵng</t>
  </si>
  <si>
    <t>2026-03</t>
  </si>
  <si>
    <t>SO2605-0126</t>
  </si>
  <si>
    <t>KH004</t>
  </si>
  <si>
    <t>VT006</t>
  </si>
  <si>
    <t>WH_HCM</t>
  </si>
  <si>
    <t>NV Dũng</t>
  </si>
  <si>
    <t>Khách hàng 004</t>
  </si>
  <si>
    <t>Nội bộ</t>
  </si>
  <si>
    <t>Hóa chất 06</t>
  </si>
  <si>
    <t>CAT06</t>
  </si>
  <si>
    <t>Hóa chất</t>
  </si>
  <si>
    <t>C</t>
  </si>
  <si>
    <t>Kho HCM</t>
  </si>
  <si>
    <t>Miền Nam</t>
  </si>
  <si>
    <t>2026-05</t>
  </si>
  <si>
    <t>SO2605-0110</t>
  </si>
  <si>
    <t>KH008</t>
  </si>
  <si>
    <t>VT005</t>
  </si>
  <si>
    <t>WH_DA</t>
  </si>
  <si>
    <t>NV Bình</t>
  </si>
  <si>
    <t>Khách hàng 008</t>
  </si>
  <si>
    <t>Miền Bắc</t>
  </si>
  <si>
    <t>Dự án</t>
  </si>
  <si>
    <t>Phụ tùng thân vỏ 05</t>
  </si>
  <si>
    <t>CAT05</t>
  </si>
  <si>
    <t>Phụ tùng thân vỏ</t>
  </si>
  <si>
    <t>Kho Đông Anh</t>
  </si>
  <si>
    <t>SO2601-0079</t>
  </si>
  <si>
    <t>KH003</t>
  </si>
  <si>
    <t>VT023</t>
  </si>
  <si>
    <t>Khách hàng 003</t>
  </si>
  <si>
    <t>Phụ tùng thân vỏ 23</t>
  </si>
  <si>
    <t>2026-01</t>
  </si>
  <si>
    <t>SO2603-0042</t>
  </si>
  <si>
    <t>KH027</t>
  </si>
  <si>
    <t>VT002</t>
  </si>
  <si>
    <t>Open</t>
  </si>
  <si>
    <t>Khách hàng 027</t>
  </si>
  <si>
    <t>Ắc quy 02</t>
  </si>
  <si>
    <t>CAT02</t>
  </si>
  <si>
    <t>Ắc quy</t>
  </si>
  <si>
    <t>SO2603-0041</t>
  </si>
  <si>
    <t>KH025</t>
  </si>
  <si>
    <t>VT003</t>
  </si>
  <si>
    <t>NV An</t>
  </si>
  <si>
    <t>Khách hàng 025</t>
  </si>
  <si>
    <t>Lốp 03</t>
  </si>
  <si>
    <t>CAT03</t>
  </si>
  <si>
    <t>Lốp</t>
  </si>
  <si>
    <t>SO2606-0050</t>
  </si>
  <si>
    <t>KH022</t>
  </si>
  <si>
    <t>VT018</t>
  </si>
  <si>
    <t>WH_HN</t>
  </si>
  <si>
    <t>Khách hàng 022</t>
  </si>
  <si>
    <t>Hóa chất 18</t>
  </si>
  <si>
    <t>Kho Hà Nội</t>
  </si>
  <si>
    <t>2026-06</t>
  </si>
  <si>
    <t>SO2601-0067</t>
  </si>
  <si>
    <t>KH038</t>
  </si>
  <si>
    <t>VT017</t>
  </si>
  <si>
    <t>Khách hàng 038</t>
  </si>
  <si>
    <t>Đại lý</t>
  </si>
  <si>
    <t>Phụ tùng thân vỏ 17</t>
  </si>
  <si>
    <t>SO2604-0049</t>
  </si>
  <si>
    <t>VT028</t>
  </si>
  <si>
    <t>Cancelled</t>
  </si>
  <si>
    <t>Phụ tùng nhanh 28</t>
  </si>
  <si>
    <t>B</t>
  </si>
  <si>
    <t>2026-04</t>
  </si>
  <si>
    <t>SO2604-0111</t>
  </si>
  <si>
    <t>VT021</t>
  </si>
  <si>
    <t>Lốp 21</t>
  </si>
  <si>
    <t>Discontinued</t>
  </si>
  <si>
    <t>SO2605-0033</t>
  </si>
  <si>
    <t>VT025</t>
  </si>
  <si>
    <t>Dầu nhớt 25</t>
  </si>
  <si>
    <t>CAT01</t>
  </si>
  <si>
    <t>Dầu nhớt</t>
  </si>
  <si>
    <t>SO2604-0114</t>
  </si>
  <si>
    <t>KH014</t>
  </si>
  <si>
    <t>VT033</t>
  </si>
  <si>
    <t>Khách hàng 014</t>
  </si>
  <si>
    <t>Lốp 33</t>
  </si>
  <si>
    <t>SO2601-0061</t>
  </si>
  <si>
    <t>KH015</t>
  </si>
  <si>
    <t>VT013</t>
  </si>
  <si>
    <t>Khách hàng 015</t>
  </si>
  <si>
    <t>Dầu nhớt 13</t>
  </si>
  <si>
    <t>SO2606-0099</t>
  </si>
  <si>
    <t>KH026</t>
  </si>
  <si>
    <t>VT016</t>
  </si>
  <si>
    <t>Khách hàng 026</t>
  </si>
  <si>
    <t>Phụ tùng nhanh 16</t>
  </si>
  <si>
    <t>SO2602-0133</t>
  </si>
  <si>
    <t>VT036</t>
  </si>
  <si>
    <t>Hóa chất 36</t>
  </si>
  <si>
    <t>2026-02</t>
  </si>
  <si>
    <t>SO2604-0130</t>
  </si>
  <si>
    <t>VT029</t>
  </si>
  <si>
    <t>Phụ tùng thân vỏ 29</t>
  </si>
  <si>
    <t>SO2603-0113</t>
  </si>
  <si>
    <t>KH019</t>
  </si>
  <si>
    <t>Khách hàng 019</t>
  </si>
  <si>
    <t>SO2606-0040</t>
  </si>
  <si>
    <t>KH005</t>
  </si>
  <si>
    <t>VT027</t>
  </si>
  <si>
    <t>Khách hàng 005</t>
  </si>
  <si>
    <t>Lốp 27</t>
  </si>
  <si>
    <t>SO2605-0098</t>
  </si>
  <si>
    <t>KH001</t>
  </si>
  <si>
    <t>Khách hàng 001</t>
  </si>
  <si>
    <t>SO2605-0057</t>
  </si>
  <si>
    <t>KH028</t>
  </si>
  <si>
    <t>VT032</t>
  </si>
  <si>
    <t>Khách hàng 028</t>
  </si>
  <si>
    <t>Ắc quy 32</t>
  </si>
  <si>
    <t>SO2602-0137</t>
  </si>
  <si>
    <t>SO2602-0117</t>
  </si>
  <si>
    <t>SO2603-0058</t>
  </si>
  <si>
    <t>SO2605-0030</t>
  </si>
  <si>
    <t>KH030</t>
  </si>
  <si>
    <t>Khách hàng 030</t>
  </si>
  <si>
    <t>SO2605-0007</t>
  </si>
  <si>
    <t>KH037</t>
  </si>
  <si>
    <t>Khách hàng 037</t>
  </si>
  <si>
    <t>SO2606-0031</t>
  </si>
  <si>
    <t>KH023</t>
  </si>
  <si>
    <t>VT035</t>
  </si>
  <si>
    <t>Khách hàng 023</t>
  </si>
  <si>
    <t>Phụ tùng thân vỏ 35</t>
  </si>
  <si>
    <t>SO2601-0111</t>
  </si>
  <si>
    <t>SO2604-0112</t>
  </si>
  <si>
    <t>KH021</t>
  </si>
  <si>
    <t>Khách hàng 021</t>
  </si>
  <si>
    <t>SO2603-0008</t>
  </si>
  <si>
    <t>VT012</t>
  </si>
  <si>
    <t>Hóa chất 12</t>
  </si>
  <si>
    <t>SO2605-0003</t>
  </si>
  <si>
    <t>KH006</t>
  </si>
  <si>
    <t>Khách hàng 006</t>
  </si>
  <si>
    <t>SO2604-0005</t>
  </si>
  <si>
    <t>VT015</t>
  </si>
  <si>
    <t>Lốp 15</t>
  </si>
  <si>
    <t>SO2604-0141</t>
  </si>
  <si>
    <t>VT030</t>
  </si>
  <si>
    <t>Hóa chất 30</t>
  </si>
  <si>
    <t>SO2602-0056</t>
  </si>
  <si>
    <t>KH018</t>
  </si>
  <si>
    <t>VT034</t>
  </si>
  <si>
    <t>Khách hàng 018</t>
  </si>
  <si>
    <t>Phụ tùng nhanh 34</t>
  </si>
  <si>
    <t>SO2603-0004</t>
  </si>
  <si>
    <t>SO2605-0073</t>
  </si>
  <si>
    <t>KH031</t>
  </si>
  <si>
    <t>Return</t>
  </si>
  <si>
    <t>Khách hàng 031</t>
  </si>
  <si>
    <t>Inactive</t>
  </si>
  <si>
    <t>SO2604-0126</t>
  </si>
  <si>
    <t>VT004</t>
  </si>
  <si>
    <t>Phụ tùng nhanh 04</t>
  </si>
  <si>
    <t>SO2605-0107</t>
  </si>
  <si>
    <t>KH034</t>
  </si>
  <si>
    <t>Khách hàng 034</t>
  </si>
  <si>
    <t>SO2606-0026</t>
  </si>
  <si>
    <t>SO2606-0121</t>
  </si>
  <si>
    <t>SO2603-0051</t>
  </si>
  <si>
    <t>SO2602-0079</t>
  </si>
  <si>
    <t>KH029</t>
  </si>
  <si>
    <t>VT008</t>
  </si>
  <si>
    <t>Khách hàng 029</t>
  </si>
  <si>
    <t>Ắc quy 08</t>
  </si>
  <si>
    <t>SO2606-0011</t>
  </si>
  <si>
    <t>SO2605-0011</t>
  </si>
  <si>
    <t>SO2603-0105</t>
  </si>
  <si>
    <t>VT007</t>
  </si>
  <si>
    <t>Dầu nhớt 07</t>
  </si>
  <si>
    <t>SO2604-0023</t>
  </si>
  <si>
    <t>KH017</t>
  </si>
  <si>
    <t>Khách hàng 017</t>
  </si>
  <si>
    <t>SO2604-0014</t>
  </si>
  <si>
    <t>VT024</t>
  </si>
  <si>
    <t>Hóa chất 24</t>
  </si>
  <si>
    <t>SO2604-0031</t>
  </si>
  <si>
    <t>KH032</t>
  </si>
  <si>
    <t>VT019</t>
  </si>
  <si>
    <t>Khách hàng 032</t>
  </si>
  <si>
    <t>Dầu nhớt 19</t>
  </si>
  <si>
    <t>SO2603-0077</t>
  </si>
  <si>
    <t>KH010</t>
  </si>
  <si>
    <t>Khách hàng 010</t>
  </si>
  <si>
    <t>SO2606-0062</t>
  </si>
  <si>
    <t>SO2605-0010</t>
  </si>
  <si>
    <t>KH033</t>
  </si>
  <si>
    <t>VT022</t>
  </si>
  <si>
    <t>Khách hàng 033</t>
  </si>
  <si>
    <t>Phụ tùng nhanh 22</t>
  </si>
  <si>
    <t>SO2601-0121</t>
  </si>
  <si>
    <t>VT026</t>
  </si>
  <si>
    <t>Ắc quy 26</t>
  </si>
  <si>
    <t>SO2606-0125</t>
  </si>
  <si>
    <t>KH040</t>
  </si>
  <si>
    <t>Khách hàng 040</t>
  </si>
  <si>
    <t>SO2604-0043</t>
  </si>
  <si>
    <t>KH999</t>
  </si>
  <si>
    <t>Sai master customer</t>
  </si>
  <si>
    <t>(Unknown)</t>
  </si>
  <si>
    <t>SO2605-0047</t>
  </si>
  <si>
    <t>KH012</t>
  </si>
  <si>
    <t>Khách hàng 012</t>
  </si>
  <si>
    <t>SO2604-0066</t>
  </si>
  <si>
    <t>SO2604-0078</t>
  </si>
  <si>
    <t>VT031</t>
  </si>
  <si>
    <t>Dầu nhớt 31</t>
  </si>
  <si>
    <t>SO2606-0102</t>
  </si>
  <si>
    <t>SO2606-0049</t>
  </si>
  <si>
    <t>KH009</t>
  </si>
  <si>
    <t>Khách hàng 009</t>
  </si>
  <si>
    <t>SO2601-0076</t>
  </si>
  <si>
    <t>SO2602-0066</t>
  </si>
  <si>
    <t>SO2605-0094</t>
  </si>
  <si>
    <t>VT001</t>
  </si>
  <si>
    <t>Dầu nhớt 01</t>
  </si>
  <si>
    <t>SO2606-0096</t>
  </si>
  <si>
    <t>SO2606-0119</t>
  </si>
  <si>
    <t>SO2605-0105</t>
  </si>
  <si>
    <t>SO2601-0102</t>
  </si>
  <si>
    <t>KH013</t>
  </si>
  <si>
    <t>Khách hàng 013</t>
  </si>
  <si>
    <t>SO2603-0033</t>
  </si>
  <si>
    <t>SO2603-0038</t>
  </si>
  <si>
    <t>KH035</t>
  </si>
  <si>
    <t>Khách hàng 035</t>
  </si>
  <si>
    <t>SO2605-0083</t>
  </si>
  <si>
    <t>SO2605-0115</t>
  </si>
  <si>
    <t>SO2604-0008</t>
  </si>
  <si>
    <t>SO2601-0033</t>
  </si>
  <si>
    <t>SO2601-0030</t>
  </si>
  <si>
    <t>SO2604-0081</t>
  </si>
  <si>
    <t>KH024</t>
  </si>
  <si>
    <t>Khách hàng 024</t>
  </si>
  <si>
    <t>SO2602-0143</t>
  </si>
  <si>
    <t>SO2604-0027</t>
  </si>
  <si>
    <t>VT999</t>
  </si>
  <si>
    <t>Sai master item</t>
  </si>
  <si>
    <t>SO2604-0144</t>
  </si>
  <si>
    <t>KH039</t>
  </si>
  <si>
    <t>Khách hàng 039</t>
  </si>
  <si>
    <t>SO2605-0103</t>
  </si>
  <si>
    <t>SO2603-0022</t>
  </si>
  <si>
    <t>VT011</t>
  </si>
  <si>
    <t>Phụ tùng thân vỏ 11</t>
  </si>
  <si>
    <t>SO2603-0056</t>
  </si>
  <si>
    <t>SO2602-0102</t>
  </si>
  <si>
    <t>VT014</t>
  </si>
  <si>
    <t>Ắc quy 14</t>
  </si>
  <si>
    <t>SO2601-0002</t>
  </si>
  <si>
    <t>SO2606-0107</t>
  </si>
  <si>
    <t>SO2601-0063</t>
  </si>
  <si>
    <t>SO2603-0044</t>
  </si>
  <si>
    <t>SO2602-0045</t>
  </si>
  <si>
    <t>SO2606-0081</t>
  </si>
  <si>
    <t>SO2603-0119</t>
  </si>
  <si>
    <t>SO2605-0142</t>
  </si>
  <si>
    <t>SO2605-0045</t>
  </si>
  <si>
    <t>KH016</t>
  </si>
  <si>
    <t>Khách hàng 016</t>
  </si>
  <si>
    <t>SO2603-0014</t>
  </si>
  <si>
    <t>SO2605-0037</t>
  </si>
  <si>
    <t>KH020</t>
  </si>
  <si>
    <t>Khách hàng 020</t>
  </si>
  <si>
    <t>SO2606-0109</t>
  </si>
  <si>
    <t>KH002</t>
  </si>
  <si>
    <t>Khách hàng 002</t>
  </si>
  <si>
    <t>SO2602-0020</t>
  </si>
  <si>
    <t>KH007</t>
  </si>
  <si>
    <t>Khách hàng 007</t>
  </si>
  <si>
    <t>SO2602-0042</t>
  </si>
  <si>
    <t>WH_OLD</t>
  </si>
  <si>
    <t>Kho không hoạt động</t>
  </si>
  <si>
    <t>Kho cũ - ngừng dùng</t>
  </si>
  <si>
    <t>SO2604-0060</t>
  </si>
  <si>
    <t>SO2605-0136</t>
  </si>
  <si>
    <t>KH011</t>
  </si>
  <si>
    <t>Khách hàng 011</t>
  </si>
  <si>
    <t>SO2604-0129</t>
  </si>
  <si>
    <t>SO2602-0010</t>
  </si>
  <si>
    <t>VT009</t>
  </si>
  <si>
    <t>Lốp 09</t>
  </si>
  <si>
    <t>SO2601-0128</t>
  </si>
  <si>
    <t>SO2606-0022</t>
  </si>
  <si>
    <t>SO2604-0065</t>
  </si>
  <si>
    <t>SO2602-0012</t>
  </si>
  <si>
    <t>SO2601-0118</t>
  </si>
  <si>
    <t>SO2605-0122</t>
  </si>
  <si>
    <t>SO2603-0032</t>
  </si>
  <si>
    <t>SO2601-0109</t>
  </si>
  <si>
    <t>SO2602-0114</t>
  </si>
  <si>
    <t>SO2605-0041</t>
  </si>
  <si>
    <t>SO2606-0126</t>
  </si>
  <si>
    <t>SO2606-0089</t>
  </si>
  <si>
    <t>SO2604-0131</t>
  </si>
  <si>
    <t>SO2604-0142</t>
  </si>
  <si>
    <t>SO2605-0019</t>
  </si>
  <si>
    <t>SO2602-0111</t>
  </si>
  <si>
    <t>SO2601-0065</t>
  </si>
  <si>
    <t>SO2602-0087</t>
  </si>
  <si>
    <t>SO2606-0140</t>
  </si>
  <si>
    <t>SO2605-0119</t>
  </si>
  <si>
    <t>SO2605-0144</t>
  </si>
  <si>
    <t>SO2606-0108</t>
  </si>
  <si>
    <t>SO2603-0128</t>
  </si>
  <si>
    <t>SO2603-0138</t>
  </si>
  <si>
    <t>SO2601-0144</t>
  </si>
  <si>
    <t>SO2602-0025</t>
  </si>
  <si>
    <t>SO2602-0086</t>
  </si>
  <si>
    <t>SO2606-0087</t>
  </si>
  <si>
    <t>VT020</t>
  </si>
  <si>
    <t>Giá bán bằng 0</t>
  </si>
  <si>
    <t>Ắc quy 20</t>
  </si>
  <si>
    <t>SO2606-0122</t>
  </si>
  <si>
    <t>SO2601-0029</t>
  </si>
  <si>
    <t>SO2601-0036</t>
  </si>
  <si>
    <t>SO2606-0068</t>
  </si>
  <si>
    <t>SO2603-0123</t>
  </si>
  <si>
    <t>SO2603-0011</t>
  </si>
  <si>
    <t>SO2605-0070</t>
  </si>
  <si>
    <t>SO2604-0085</t>
  </si>
  <si>
    <t>SO2603-0074</t>
  </si>
  <si>
    <t>SO2601-0003</t>
  </si>
  <si>
    <t>SO2603-0050</t>
  </si>
  <si>
    <t>SO2605-0050</t>
  </si>
  <si>
    <t>SO2603-0064</t>
  </si>
  <si>
    <t>SO2603-0093</t>
  </si>
  <si>
    <t>SO2606-0076</t>
  </si>
  <si>
    <t>SO2605-0056</t>
  </si>
  <si>
    <t>SO2605-0130</t>
  </si>
  <si>
    <t>SO2601-0131</t>
  </si>
  <si>
    <t>SO2601-0074</t>
  </si>
  <si>
    <t>SO2606-0139</t>
  </si>
  <si>
    <t>SO2601-0108</t>
  </si>
  <si>
    <t>SO2603-0012</t>
  </si>
  <si>
    <t>SO2603-0078</t>
  </si>
  <si>
    <t>SO2605-0127</t>
  </si>
  <si>
    <t>SO2602-0077</t>
  </si>
  <si>
    <t>SO2606-0021</t>
  </si>
  <si>
    <t>SO2602-0144</t>
  </si>
  <si>
    <t>SO2605-0063</t>
  </si>
  <si>
    <t>SO2605-0128</t>
  </si>
  <si>
    <t>SO2603-0126</t>
  </si>
  <si>
    <t>SO2605-0009</t>
  </si>
  <si>
    <t>SO2601-0056</t>
  </si>
  <si>
    <t>SO2605-0074</t>
  </si>
  <si>
    <t>SO2602-0135</t>
  </si>
  <si>
    <t>SO2603-0021</t>
  </si>
  <si>
    <t>SO2605-0112</t>
  </si>
  <si>
    <t>SO2606-0072</t>
  </si>
  <si>
    <t>SO2605-0100</t>
  </si>
  <si>
    <t>SO2603-0020</t>
  </si>
  <si>
    <t>SO2604-0048</t>
  </si>
  <si>
    <t>SO2604-0143</t>
  </si>
  <si>
    <t>SO2604-0100</t>
  </si>
  <si>
    <t>SO2602-0112</t>
  </si>
  <si>
    <t>SO2604-0028</t>
  </si>
  <si>
    <t>SO2604-0035</t>
  </si>
  <si>
    <t>SO2604-0054</t>
  </si>
  <si>
    <t>SO2604-0019</t>
  </si>
  <si>
    <t>SO2606-0138</t>
  </si>
  <si>
    <t>SO2603-0111</t>
  </si>
  <si>
    <t>SO2604-0096</t>
  </si>
  <si>
    <t>SO2601-0037</t>
  </si>
  <si>
    <t>SO2603-0018</t>
  </si>
  <si>
    <t>SO2605-0027</t>
  </si>
  <si>
    <t>SO2606-0101</t>
  </si>
  <si>
    <t>SO2606-0035</t>
  </si>
  <si>
    <t>SO2605-0099</t>
  </si>
  <si>
    <t>SO2604-0003</t>
  </si>
  <si>
    <t>SO2605-0043</t>
  </si>
  <si>
    <t>SO2602-0090</t>
  </si>
  <si>
    <t>SO2601-0071</t>
  </si>
  <si>
    <t>SO2605-0001</t>
  </si>
  <si>
    <t>SO2603-0141</t>
  </si>
  <si>
    <t>SO2604-0117</t>
  </si>
  <si>
    <t>SO2602-0058</t>
  </si>
  <si>
    <t>SO2602-0099</t>
  </si>
  <si>
    <t>SO2606-0037</t>
  </si>
  <si>
    <t>SO2602-0023</t>
  </si>
  <si>
    <t>SO2603-0142</t>
  </si>
  <si>
    <t>SO2603-0127</t>
  </si>
  <si>
    <t>SO2604-0140</t>
  </si>
  <si>
    <t>SO2606-0129</t>
  </si>
  <si>
    <t>SO2602-0138</t>
  </si>
  <si>
    <t>SO2601-0112</t>
  </si>
  <si>
    <t>SO2603-0134</t>
  </si>
  <si>
    <t>SO2603-0135</t>
  </si>
  <si>
    <t>SO2603-0027</t>
  </si>
  <si>
    <t>SO2605-0096</t>
  </si>
  <si>
    <t>SO2603-0080</t>
  </si>
  <si>
    <t>SO2604-0095</t>
  </si>
  <si>
    <t>SO2603-0001</t>
  </si>
  <si>
    <t>SO2601-0012</t>
  </si>
  <si>
    <t>SO2603-0116</t>
  </si>
  <si>
    <t>SO2604-0120</t>
  </si>
  <si>
    <t>SO2603-0045</t>
  </si>
  <si>
    <t>SO2602-0051</t>
  </si>
  <si>
    <t>SO2601-0085</t>
  </si>
  <si>
    <t>SO2605-0008</t>
  </si>
  <si>
    <t>SO2602-0009</t>
  </si>
  <si>
    <t>SO2604-0070</t>
  </si>
  <si>
    <t>SO2605-0092</t>
  </si>
  <si>
    <t>SO2604-0045</t>
  </si>
  <si>
    <t>SO2605-0049</t>
  </si>
  <si>
    <t>SO2606-0082</t>
  </si>
  <si>
    <t>SO2603-0089</t>
  </si>
  <si>
    <t>SO2601-0001</t>
  </si>
  <si>
    <t>SO2605-0097</t>
  </si>
  <si>
    <t>SO2601-0088</t>
  </si>
  <si>
    <t>Chiết khấu bất thường</t>
  </si>
  <si>
    <t>SO2606-0112</t>
  </si>
  <si>
    <t>SO2606-0073</t>
  </si>
  <si>
    <t>SO2605-0106</t>
  </si>
  <si>
    <t>SO2602-0050</t>
  </si>
  <si>
    <t>SO2601-0100</t>
  </si>
  <si>
    <t>SO2601-0107</t>
  </si>
  <si>
    <t>SO2603-0099</t>
  </si>
  <si>
    <t>SO2603-0072</t>
  </si>
  <si>
    <t>SO2606-0023</t>
  </si>
  <si>
    <t>SO2601-0080</t>
  </si>
  <si>
    <t>SO2604-0051</t>
  </si>
  <si>
    <t>SO2602-0065</t>
  </si>
  <si>
    <t>SO2603-0067</t>
  </si>
  <si>
    <t>SO2603-0057</t>
  </si>
  <si>
    <t>SO2604-0067</t>
  </si>
  <si>
    <t>SO2602-0081</t>
  </si>
  <si>
    <t>SO2604-0004</t>
  </si>
  <si>
    <t>SO2601-0099</t>
  </si>
  <si>
    <t>SO2602-0034</t>
  </si>
  <si>
    <t>SO2606-0013</t>
  </si>
  <si>
    <t>SO2602-0003</t>
  </si>
  <si>
    <t>SO2601-0028</t>
  </si>
  <si>
    <t>SO2601-0141</t>
  </si>
  <si>
    <t>SO2602-0024</t>
  </si>
  <si>
    <t>SO2602-0011</t>
  </si>
  <si>
    <t>SO2603-0092</t>
  </si>
  <si>
    <t>SO2605-0113</t>
  </si>
  <si>
    <t>SO2605-0029</t>
  </si>
  <si>
    <t>SO2601-0041</t>
  </si>
  <si>
    <t>SO2604-0061</t>
  </si>
  <si>
    <t>SO2605-0005</t>
  </si>
  <si>
    <t>SO2606-0094</t>
  </si>
  <si>
    <t>SO2601-0043</t>
  </si>
  <si>
    <t>SO2603-0028</t>
  </si>
  <si>
    <t>SO2605-0111</t>
  </si>
  <si>
    <t>SO2604-0064</t>
  </si>
  <si>
    <t>SO2606-0141</t>
  </si>
  <si>
    <t>SO2605-0139</t>
  </si>
  <si>
    <t>SO2601-0098</t>
  </si>
  <si>
    <t>SO2602-0016</t>
  </si>
  <si>
    <t>SO2606-0144</t>
  </si>
  <si>
    <t>SO2605-0014</t>
  </si>
  <si>
    <t>SO2605-0140</t>
  </si>
  <si>
    <t>SO2604-0011</t>
  </si>
  <si>
    <t>SO2601-0040</t>
  </si>
  <si>
    <t>SO2601-0083</t>
  </si>
  <si>
    <t>SO2605-0012</t>
  </si>
  <si>
    <t>SO2606-0055</t>
  </si>
  <si>
    <t>SO2601-0023</t>
  </si>
  <si>
    <t>SO2602-0048</t>
  </si>
  <si>
    <t>SO2602-0082</t>
  </si>
  <si>
    <t>SO2603-0125</t>
  </si>
  <si>
    <t>SO2601-0005</t>
  </si>
  <si>
    <t>SO2604-0101</t>
  </si>
  <si>
    <t>SO2606-0043</t>
  </si>
  <si>
    <t>SO2605-0060</t>
  </si>
  <si>
    <t>SO2605-0065</t>
  </si>
  <si>
    <t>SO2605-0036</t>
  </si>
  <si>
    <t>SO2606-0059</t>
  </si>
  <si>
    <t>SO2606-0131</t>
  </si>
  <si>
    <t>SO2605-0108</t>
  </si>
  <si>
    <t>SO2605-0026</t>
  </si>
  <si>
    <t>SO2603-0049</t>
  </si>
  <si>
    <t>SO2602-0100</t>
  </si>
  <si>
    <t>SO2604-0103</t>
  </si>
  <si>
    <t>SO2604-0102</t>
  </si>
  <si>
    <t>SO2603-0071</t>
  </si>
  <si>
    <t>SO2605-0076</t>
  </si>
  <si>
    <t>SO2605-0124</t>
  </si>
  <si>
    <t>SO2601-0142</t>
  </si>
  <si>
    <t>SO2605-0052</t>
  </si>
  <si>
    <t>SO2601-0021</t>
  </si>
  <si>
    <t>SO2605-0072</t>
  </si>
  <si>
    <t>SO2602-0108</t>
  </si>
  <si>
    <t>SO2603-0061</t>
  </si>
  <si>
    <t>SO2605-0077</t>
  </si>
  <si>
    <t>SO2604-0086</t>
  </si>
  <si>
    <t>SO2603-0091</t>
  </si>
  <si>
    <t>SO2605-0022</t>
  </si>
  <si>
    <t>SO2605-0114</t>
  </si>
  <si>
    <t>SO2601-0114</t>
  </si>
  <si>
    <t>SO2602-0106</t>
  </si>
  <si>
    <t>SO2606-0116</t>
  </si>
  <si>
    <t>SO2604-0119</t>
  </si>
  <si>
    <t>SO2603-0098</t>
  </si>
  <si>
    <t>SO2605-0054</t>
  </si>
  <si>
    <t>SO2605-0031</t>
  </si>
  <si>
    <t>SO2601-0087</t>
  </si>
  <si>
    <t>SO2605-0089</t>
  </si>
  <si>
    <t>SO2601-0136</t>
  </si>
  <si>
    <t>SO2601-0094</t>
  </si>
  <si>
    <t>SO2604-0083</t>
  </si>
  <si>
    <t>SO2601-0125</t>
  </si>
  <si>
    <t>SO2606-0019</t>
  </si>
  <si>
    <t>SO2604-0015</t>
  </si>
  <si>
    <t>SO2606-0118</t>
  </si>
  <si>
    <t>SO2604-0116</t>
  </si>
  <si>
    <t>SO2603-0066</t>
  </si>
  <si>
    <t>SO2606-0077</t>
  </si>
  <si>
    <t>SO2601-0122</t>
  </si>
  <si>
    <t>SO2605-0102</t>
  </si>
  <si>
    <t>SO2606-0106</t>
  </si>
  <si>
    <t>SO2606-0038</t>
  </si>
  <si>
    <t>SO2602-0140</t>
  </si>
  <si>
    <t>SO2603-0052</t>
  </si>
  <si>
    <t>SO2601-0075</t>
  </si>
  <si>
    <t>SO2605-0006</t>
  </si>
  <si>
    <t>SO2602-0039</t>
  </si>
  <si>
    <t>SO2603-0040</t>
  </si>
  <si>
    <t>SO2602-0080</t>
  </si>
  <si>
    <t>SO2601-0082</t>
  </si>
  <si>
    <t>SO2606-0060</t>
  </si>
  <si>
    <t>SO2602-0017</t>
  </si>
  <si>
    <t>SO2606-0098</t>
  </si>
  <si>
    <t>SO2601-0143</t>
  </si>
  <si>
    <t>SO2606-0014</t>
  </si>
  <si>
    <t>SO2604-0079</t>
  </si>
  <si>
    <t>SO2604-0093</t>
  </si>
  <si>
    <t>SO2603-0121</t>
  </si>
  <si>
    <t>SO2603-0097</t>
  </si>
  <si>
    <t>SO2601-0070</t>
  </si>
  <si>
    <t>SO2604-0010</t>
  </si>
  <si>
    <t>SO2605-0135</t>
  </si>
  <si>
    <t>SO2602-0071</t>
  </si>
  <si>
    <t>SO2604-0034</t>
  </si>
  <si>
    <t>SO2606-0067</t>
  </si>
  <si>
    <t>SO2604-0044</t>
  </si>
  <si>
    <t>SO2603-0137</t>
  </si>
  <si>
    <t>SO2604-0088</t>
  </si>
  <si>
    <t>SO2605-0078</t>
  </si>
  <si>
    <t>OnHandQty</t>
  </si>
  <si>
    <t>InventoryValue</t>
  </si>
  <si>
    <t>Sold6m</t>
  </si>
  <si>
    <t>MOC</t>
  </si>
  <si>
    <t>SlowHeavy</t>
  </si>
  <si>
    <t>SafetyStock</t>
  </si>
  <si>
    <t>LastReceiptDate_conv</t>
  </si>
  <si>
    <t>BelowSafety</t>
  </si>
  <si>
    <t>Negative</t>
  </si>
  <si>
    <t>SlowHeavyValue</t>
  </si>
  <si>
    <t>DiscStock</t>
  </si>
  <si>
    <t>DiscStockValue</t>
  </si>
  <si>
    <t>BelowSafetyN</t>
  </si>
  <si>
    <t>NegN</t>
  </si>
  <si>
    <t>MonthStart</t>
  </si>
  <si>
    <t>Region</t>
  </si>
  <si>
    <t>TargetRevenue</t>
  </si>
  <si>
    <t>LaunchDate</t>
  </si>
  <si>
    <t>WarehouseStatus</t>
  </si>
  <si>
    <t>GMpct</t>
  </si>
  <si>
    <t>Group</t>
  </si>
  <si>
    <t>Actual</t>
  </si>
  <si>
    <t>Target</t>
  </si>
  <si>
    <t>PctAchieved</t>
  </si>
  <si>
    <t>Index</t>
  </si>
  <si>
    <t>index</t>
  </si>
  <si>
    <t>Step</t>
  </si>
  <si>
    <t>Cumulative</t>
  </si>
  <si>
    <t>A. Gross Revenue</t>
  </si>
  <si>
    <t>B. − Dòng trùng</t>
  </si>
  <si>
    <t>C. − Qty=900</t>
  </si>
  <si>
    <t>D. − Hàng trả</t>
  </si>
  <si>
    <t>Scenario</t>
  </si>
  <si>
    <t>Làm sạch ĐÚNG</t>
  </si>
  <si>
    <t>KHÔNG làm sạch</t>
  </si>
  <si>
    <t>Dedupe SAI</t>
  </si>
  <si>
    <t>Rule</t>
  </si>
  <si>
    <t>Type</t>
  </si>
  <si>
    <t>Description</t>
  </si>
  <si>
    <t>H1</t>
  </si>
  <si>
    <t>Hard</t>
  </si>
  <si>
    <t>Fact table phải có surrogate primary key</t>
  </si>
  <si>
    <t>H2</t>
  </si>
  <si>
    <t>Chặn insert bản ghi giống hệt bản đã tồn tại</t>
  </si>
  <si>
    <t>H3</t>
  </si>
  <si>
    <t>FK Customer/Item/Warehouse phải tồn tại trong dim</t>
  </si>
  <si>
    <t>H4</t>
  </si>
  <si>
    <t>UnitPrice &gt; 0</t>
  </si>
  <si>
    <t>H5</t>
  </si>
  <si>
    <t>OnHandQty ≥ 0 tại thời điểm chốt sổ</t>
  </si>
  <si>
    <t>H6</t>
  </si>
  <si>
    <t>Ép kiểu date cho mọi cột ngày tại ETL</t>
  </si>
  <si>
    <t>H7</t>
  </si>
  <si>
    <t>Chặn mã đơn có hậu tố sentinel (9999, 0000)</t>
  </si>
  <si>
    <t>H8</t>
  </si>
  <si>
    <t>Không cho chọn master Status ≠ Active khi tạo đơn</t>
  </si>
  <si>
    <t>H9</t>
  </si>
  <si>
    <t>QtyDelivered ≤ OnHandQty(Item,Warehouse) — cross 2 fact</t>
  </si>
  <si>
    <t>S1</t>
  </si>
  <si>
    <t>Soft</t>
  </si>
  <si>
    <t>DiscountPct &gt; 20% (P95=P99=10%)</t>
  </si>
  <si>
    <t>S2</t>
  </si>
  <si>
    <t>QtyOrder &gt; 3 × P99 theo item</t>
  </si>
  <si>
    <t>S3</t>
  </si>
  <si>
    <t>UnitPrice×(1−Disc) &lt; StandardCost (bán dưới vốn)</t>
  </si>
  <si>
    <t>S4</t>
  </si>
  <si>
    <t>ActualDeliveryDate &gt; DeliveryDueDate (giao trễ)</t>
  </si>
  <si>
    <t>Tier</t>
  </si>
  <si>
    <t>Question</t>
  </si>
  <si>
    <t>Metric</t>
  </si>
  <si>
    <t>Value</t>
  </si>
  <si>
    <t>Owner</t>
  </si>
  <si>
    <t>Dữ liệu</t>
  </si>
  <si>
    <t>Có ghi đúng cái đã xảy ra không?</t>
  </si>
  <si>
    <t>DQ Score</t>
  </si>
  <si>
    <t>97,79% (SO) / 98,27% (INV)</t>
  </si>
  <si>
    <t>Người nhập liệu / ETL</t>
  </si>
  <si>
    <t>Quy trình</t>
  </si>
  <si>
    <t>Cái đã xảy ra có được phép không?</t>
  </si>
  <si>
    <t>PV Score</t>
  </si>
  <si>
    <t>13,94%</t>
  </si>
  <si>
    <t>Quản lý bán hàng</t>
  </si>
  <si>
    <t>Thiết kế</t>
  </si>
  <si>
    <t>Hệ thống có đúng không?</t>
  </si>
  <si>
    <t>Không đo bằng %</t>
  </si>
  <si>
    <t>—</t>
  </si>
  <si>
    <t>IT / kiến trúc dữ liệu</t>
  </si>
  <si>
    <t>No</t>
  </si>
  <si>
    <t>Hint</t>
  </si>
  <si>
    <t>Issue</t>
  </si>
  <si>
    <t>Table</t>
  </si>
  <si>
    <t>Rows</t>
  </si>
  <si>
    <t>MoneyImpact</t>
  </si>
  <si>
    <t>Không có khóa tự nhiên</t>
  </si>
  <si>
    <t>SO</t>
  </si>
  <si>
    <t>toàn bộ</t>
  </si>
  <si>
    <t>-293,1 tr nếu dedupe sai</t>
  </si>
  <si>
    <t>Yes</t>
  </si>
  <si>
    <t>Dòng trùng thật SO2602-0137|1</t>
  </si>
  <si>
    <t>2</t>
  </si>
  <si>
    <t>-11.956.000</t>
  </si>
  <si>
    <t>Orphan FK KH999/VT999</t>
  </si>
  <si>
    <t>SO,INV</t>
  </si>
  <si>
    <t>6</t>
  </si>
  <si>
    <t>74,5 tr ngoài grain plan</t>
  </si>
  <si>
    <t>UnitPrice = 0</t>
  </si>
  <si>
    <t>1</t>
  </si>
  <si>
    <t>Biên âm</t>
  </si>
  <si>
    <t>DiscountPct = 65%</t>
  </si>
  <si>
    <t>917.700</t>
  </si>
  <si>
    <t>QtyOrder = 900 (bất khả thi)</t>
  </si>
  <si>
    <t>-135.000.000</t>
  </si>
  <si>
    <t>H7+H9</t>
  </si>
  <si>
    <t>Tồn âm 14 dòng (4 còn âm 30/06)</t>
  </si>
  <si>
    <t>INV</t>
  </si>
  <si>
    <t>14</t>
  </si>
  <si>
    <t>-</t>
  </si>
  <si>
    <t>LastReceiptDate là Excel serial</t>
  </si>
  <si>
    <t>865</t>
  </si>
  <si>
    <t>Aging sai</t>
  </si>
  <si>
    <t>fact.Salesperson != dim.Salesperson (76%)</t>
  </si>
  <si>
    <t>344</t>
  </si>
  <si>
    <t>Báo cáo NV sai</t>
  </si>
  <si>
    <t>D1</t>
  </si>
  <si>
    <t>Plan &amp; fact khác phạm vi (16,48x)</t>
  </si>
  <si>
    <t>PLAN</t>
  </si>
  <si>
    <t>108</t>
  </si>
  <si>
    <t>KPI ko đọc được</t>
  </si>
  <si>
    <t>D2</t>
  </si>
  <si>
    <t>InventoryValue là cột dẫn xuất</t>
  </si>
  <si>
    <t>Cột thừa</t>
  </si>
  <si>
    <t>D3</t>
  </si>
  <si>
    <t>Sales</t>
  </si>
  <si>
    <t>Violations</t>
  </si>
  <si>
    <t>Pct</t>
  </si>
  <si>
    <t>B. Trừ dòng trùng</t>
  </si>
  <si>
    <t>C. Trừ Qty=900</t>
  </si>
  <si>
    <t>D. Trừ hàng trả</t>
  </si>
  <si>
    <t>Executive Sales — Doanh thu 6 tháng (01–06/2026)</t>
  </si>
  <si>
    <t>Nguồn: Data_set.xlsx • Đã làm sạch (450/452 dòng) • Region = vùng KHÁCH HÀNG</t>
  </si>
  <si>
    <t>Revenue Net</t>
  </si>
  <si>
    <t>Values</t>
  </si>
  <si>
    <t>Gross Margin</t>
  </si>
  <si>
    <t>GM %</t>
  </si>
  <si>
    <t>Fill Rate</t>
  </si>
  <si>
    <t>OTD</t>
  </si>
  <si>
    <t>Return Val</t>
  </si>
  <si>
    <t>REVENUE NET (VNĐ)</t>
  </si>
  <si>
    <t>GROSS MARGIN (VNĐ)</t>
  </si>
  <si>
    <t>GROSS MARGIN %</t>
  </si>
  <si>
    <t>FILL RATE</t>
  </si>
  <si>
    <t>ON-TIME DELIVERY</t>
  </si>
  <si>
    <t>Row Labels</t>
  </si>
  <si>
    <t>Grand Total</t>
  </si>
  <si>
    <t>Gross Profit</t>
  </si>
  <si>
    <t>Doanh thu theo lát cắt (phản ứng theo Slicer)</t>
  </si>
  <si>
    <t>Achievement Index — chỉ đọc cấp tổng hợp (100 = mặt bằng 6,07%). KHÔNG theo Slicer.</t>
  </si>
  <si>
    <t>Inventory &amp; Slow Moving — Tồn kho EOM 30/06/2026</t>
  </si>
  <si>
    <t>Ảnh chụp kỳ mới nhất • Region = vùng KHO • Đã loại orphan VT999 • MOC dùng filter Completed+Return</t>
  </si>
  <si>
    <t>Ton</t>
  </si>
  <si>
    <t>MacKet</t>
  </si>
  <si>
    <t>Disc</t>
  </si>
  <si>
    <t>TonAm</t>
  </si>
  <si>
    <t>DuoiSafety</t>
  </si>
  <si>
    <t>TỔNG GIÁ TRỊ TỒN (VNĐ)</t>
  </si>
  <si>
    <t>VỐN MẮC KẸT (Slow&amp;Heavy)</t>
  </si>
  <si>
    <t>DISCONTINUED CÒN TỒN</t>
  </si>
  <si>
    <t>TỒN ÂM (dòng)</t>
  </si>
  <si>
    <t>DƯỚI SAFETY (dòng)</t>
  </si>
  <si>
    <t>Tồn</t>
  </si>
  <si>
    <t>Bản đồ chôn vốn — Scatter góc phần tư (trái tim của trang)</t>
  </si>
  <si>
    <t>Ma trận Kho × Nhóm hàng (VNĐ) — màu đậm = tồn cao</t>
  </si>
  <si>
    <t>Column Labels</t>
  </si>
  <si>
    <t>Tồn âm tại 30/06/2026 (KHÔNG set = 0)</t>
  </si>
  <si>
    <t>Discontinued còn tồn (thanh lý)</t>
  </si>
  <si>
    <t>Data Quality / Reconciliation — Giấy chứng nhận chất lượng</t>
  </si>
  <si>
    <t>Chứng minh số liệu DB1 &amp; DB2 đáng tin đến mức nào, định lượng phần không tin bằng tiền, chỉ ra ai sửa gì.</t>
  </si>
  <si>
    <t>DQ SCORE — fact_sales</t>
  </si>
  <si>
    <t>DQ SCORE — inventory</t>
  </si>
  <si>
    <t>PV SCORE (nhân viên)</t>
  </si>
  <si>
    <t>Sai nếu KHÔNG làm sạch</t>
  </si>
  <si>
    <t>Sai nếu DEDUPE SAI</t>
  </si>
  <si>
    <t>Q4+Q5 — Reconciliation doanh thu: làm sạch SAI (−5,63%) nguy hiểm gấp đôi không làm sạch (+2,82%)</t>
  </si>
  <si>
    <t>Q6+Q8 — Ma trận 3 tầng lỗi · Q7 — Reconciliation tồn kho</t>
  </si>
  <si>
    <t>3 tầng lỗi — 3 chỉ số — 3 người sửa</t>
  </si>
  <si>
    <t>Q7 — Reconciliation tồn kho: InventoryValue = OnHandQty × StandardCost</t>
  </si>
  <si>
    <t>→ 864 / 865 = 99,88% khớp. Dòng lệch duy nhất: VT999 (không có StandardCost).</t>
  </si>
  <si>
    <t>Q1+Q2+Q3 — Bảng audit 11 vấn đề (cột Hint: 5/11 do phân tích tự tìm)</t>
  </si>
  <si>
    <t>Q9 — PV Score theo nhân viên (χ²=4,716; p=0,194 — chênh lệch KHÔNG có ý nghĩa thống kê)</t>
  </si>
  <si>
    <t>Q10+Q11 — Checklist rule (9 Hard · 4 Soft)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</si>
</sst>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quot;tr&quot;"/>
    <numFmt numFmtId="166" formatCode="\+0.00%;\-0.00%"/>
  </numFmts>
  <fonts count="21" x14ac:knownFonts="1">
    <font>
      <sz val="11"/>
      <color theme="1"/>
      <name val="Calibri"/>
      <family val="2"/>
      <scheme val="minor"/>
    </font>
    <font>
      <b/>
      <sz val="20"/>
      <color rgb="FF0F172A"/>
      <name val="Calibri"/>
      <family val="2"/>
      <scheme val="minor"/>
    </font>
    <font>
      <sz val="9.5"/>
      <color rgb="FF6B7280"/>
      <name val="Calibri"/>
      <family val="2"/>
      <scheme val="minor"/>
    </font>
    <font>
      <sz val="8.5"/>
      <color theme="1"/>
      <name val="Calibri"/>
      <family val="2"/>
      <scheme val="minor"/>
    </font>
    <font>
      <sz val="8.5"/>
      <color rgb="FF6B7280"/>
      <name val="Calibri"/>
      <family val="2"/>
      <scheme val="minor"/>
    </font>
    <font>
      <b/>
      <sz val="16"/>
      <color rgb="FF2563EB"/>
      <name val="Calibri"/>
      <family val="2"/>
      <scheme val="minor"/>
    </font>
    <font>
      <b/>
      <sz val="16"/>
      <color rgb="FF0D9488"/>
      <name val="Calibri"/>
      <family val="2"/>
      <scheme val="minor"/>
    </font>
    <font>
      <b/>
      <sz val="16"/>
      <color rgb="FF16A34A"/>
      <name val="Calibri"/>
      <family val="2"/>
      <scheme val="minor"/>
    </font>
    <font>
      <b/>
      <sz val="16"/>
      <color rgb="FFD97706"/>
      <name val="Calibri"/>
      <family val="2"/>
      <scheme val="minor"/>
    </font>
    <font>
      <b/>
      <sz val="10.5"/>
      <color rgb="FF334155"/>
      <name val="Calibri"/>
      <family val="2"/>
      <scheme val="minor"/>
    </font>
    <font>
      <b/>
      <sz val="15"/>
      <color rgb="FF2563EB"/>
      <name val="Calibri"/>
      <family val="2"/>
      <scheme val="minor"/>
    </font>
    <font>
      <b/>
      <sz val="15"/>
      <color rgb="FFDC2626"/>
      <name val="Calibri"/>
      <family val="2"/>
      <scheme val="minor"/>
    </font>
    <font>
      <b/>
      <sz val="15"/>
      <color rgb="FFD97706"/>
      <name val="Calibri"/>
      <family val="2"/>
      <scheme val="minor"/>
    </font>
    <font>
      <b/>
      <sz val="15"/>
      <color rgb="FF7C3AED"/>
      <name val="Calibri"/>
      <family val="2"/>
      <scheme val="minor"/>
    </font>
    <font>
      <b/>
      <sz val="10"/>
      <color rgb="FFDC2626"/>
      <name val="Calibri"/>
      <family val="2"/>
      <scheme val="minor"/>
    </font>
    <font>
      <b/>
      <sz val="8.5"/>
      <color rgb="FF334155"/>
      <name val="Calibri"/>
      <family val="2"/>
      <scheme val="minor"/>
    </font>
    <font>
      <b/>
      <sz val="10"/>
      <color rgb="FFD97706"/>
      <name val="Calibri"/>
      <family val="2"/>
      <scheme val="minor"/>
    </font>
    <font>
      <b/>
      <sz val="15"/>
      <color rgb="FF16A34A"/>
      <name val="Calibri"/>
      <family val="2"/>
      <scheme val="minor"/>
    </font>
    <font>
      <b/>
      <sz val="10"/>
      <color rgb="FF334155"/>
      <name val="Calibri"/>
      <family val="2"/>
      <scheme val="minor"/>
    </font>
    <font>
      <b/>
      <sz val="9.5"/>
      <color rgb="FF334155"/>
      <name val="Calibri"/>
      <family val="2"/>
      <scheme val="minor"/>
    </font>
    <font>
      <sz val="9.5"/>
      <color rgb="FF1F2937"/>
      <name val="Calibri"/>
      <family val="2"/>
      <scheme val="minor"/>
    </font>
  </fonts>
  <fills count="6">
    <fill>
      <patternFill patternType="none"/>
    </fill>
    <fill>
      <patternFill patternType="gray125"/>
    </fill>
    <fill>
      <patternFill patternType="solid">
        <fgColor rgb="FFF8FAFC"/>
        <bgColor indexed="64"/>
      </patternFill>
    </fill>
    <fill>
      <patternFill patternType="solid">
        <fgColor rgb="FFFFFFFF"/>
        <bgColor indexed="64"/>
      </patternFill>
    </fill>
    <fill>
      <patternFill patternType="solid">
        <fgColor rgb="FFF1F5F9"/>
        <bgColor indexed="64"/>
      </patternFill>
    </fill>
    <fill>
      <patternFill patternType="solid">
        <fgColor rgb="FFE2E8F0"/>
        <bgColor indexed="64"/>
      </patternFill>
    </fill>
  </fills>
  <borders count="13">
    <border>
      <left/>
      <right/>
      <top/>
      <bottom/>
      <diagonal/>
    </border>
    <border>
      <left style="thin">
        <color rgb="FFE2E8F0"/>
      </left>
      <right style="thin">
        <color rgb="FFE2E8F0"/>
      </right>
      <top style="thin">
        <color rgb="FFE2E8F0"/>
      </top>
      <bottom style="thin">
        <color rgb="FFE2E8F0"/>
      </bottom>
      <diagonal/>
    </border>
    <border>
      <left style="thin">
        <color rgb="FFE2E8F0"/>
      </left>
      <right/>
      <top style="thin">
        <color rgb="FFE2E8F0"/>
      </top>
      <bottom style="thin">
        <color rgb="FFE2E8F0"/>
      </bottom>
      <diagonal/>
    </border>
    <border>
      <left/>
      <right/>
      <top style="thin">
        <color rgb="FFE2E8F0"/>
      </top>
      <bottom style="thin">
        <color rgb="FFE2E8F0"/>
      </bottom>
      <diagonal/>
    </border>
    <border>
      <left/>
      <right style="thin">
        <color rgb="FFE2E8F0"/>
      </right>
      <top style="thin">
        <color rgb="FFE2E8F0"/>
      </top>
      <bottom style="thin">
        <color rgb="FFE2E8F0"/>
      </bottom>
      <diagonal/>
    </border>
    <border>
      <left style="thin">
        <color rgb="FFE2E8F0"/>
      </left>
      <right/>
      <top style="thin">
        <color rgb="FFE2E8F0"/>
      </top>
      <bottom/>
      <diagonal/>
    </border>
    <border>
      <left/>
      <right/>
      <top style="thin">
        <color rgb="FFE2E8F0"/>
      </top>
      <bottom/>
      <diagonal/>
    </border>
    <border>
      <left/>
      <right style="thin">
        <color rgb="FFE2E8F0"/>
      </right>
      <top style="thin">
        <color rgb="FFE2E8F0"/>
      </top>
      <bottom/>
      <diagonal/>
    </border>
    <border>
      <left style="thin">
        <color rgb="FFE2E8F0"/>
      </left>
      <right/>
      <top/>
      <bottom/>
      <diagonal/>
    </border>
    <border>
      <left/>
      <right style="thin">
        <color rgb="FFE2E8F0"/>
      </right>
      <top/>
      <bottom/>
      <diagonal/>
    </border>
    <border>
      <left style="thin">
        <color rgb="FFE2E8F0"/>
      </left>
      <right/>
      <top/>
      <bottom style="thin">
        <color rgb="FFE2E8F0"/>
      </bottom>
      <diagonal/>
    </border>
    <border>
      <left/>
      <right/>
      <top/>
      <bottom style="thin">
        <color rgb="FFE2E8F0"/>
      </bottom>
      <diagonal/>
    </border>
    <border>
      <left/>
      <right style="thin">
        <color rgb="FFE2E8F0"/>
      </right>
      <top/>
      <bottom style="thin">
        <color rgb="FFE2E8F0"/>
      </bottom>
      <diagonal/>
    </border>
  </borders>
  <cellStyleXfs count="1">
    <xf numFmtId="0" fontId="0" fillId="0" borderId="0"/>
  </cellStyleXfs>
  <cellXfs count="138">
    <xf numFmtId="0" fontId="0" fillId="0" borderId="0" xfId="0"/>
    <xf numFmtId="164" fontId="0" fillId="0" borderId="0" xfId="0" applyNumberFormat="1"/>
    <xf numFmtId="0" fontId="0" fillId="2" borderId="0" xfId="0" applyFill="1"/>
    <xf numFmtId="0" fontId="1" fillId="2" borderId="0" xfId="0" applyFont="1" applyFill="1"/>
    <xf numFmtId="0" fontId="2" fillId="2" borderId="0" xfId="0" applyFont="1" applyFill="1"/>
    <xf numFmtId="0" fontId="0" fillId="0" borderId="0" xfId="0" applyNumberFormat="1"/>
    <xf numFmtId="0" fontId="0" fillId="0" borderId="0" xfId="0" pivotButton="1"/>
    <xf numFmtId="0" fontId="0" fillId="0" borderId="0" xfId="0" applyAlignment="1">
      <alignment horizontal="left"/>
    </xf>
    <xf numFmtId="165" fontId="3" fillId="0" borderId="0" xfId="0" applyNumberFormat="1" applyFont="1"/>
    <xf numFmtId="0" fontId="3" fillId="0" borderId="1" xfId="0" applyFont="1" applyFill="1" applyBorder="1" applyAlignment="1">
      <alignment vertical="center"/>
    </xf>
    <xf numFmtId="0" fontId="15" fillId="5" borderId="1" xfId="0" applyFont="1" applyFill="1" applyBorder="1" applyAlignment="1">
      <alignment vertical="center"/>
    </xf>
    <xf numFmtId="3" fontId="3" fillId="0" borderId="1" xfId="0" applyNumberFormat="1" applyFont="1" applyFill="1" applyBorder="1" applyAlignment="1">
      <alignment vertical="center"/>
    </xf>
    <xf numFmtId="0" fontId="19" fillId="2" borderId="0" xfId="0" applyFont="1" applyFill="1"/>
    <xf numFmtId="0" fontId="20" fillId="2" borderId="0" xfId="0" applyFont="1" applyFill="1"/>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10" fontId="7" fillId="3" borderId="5" xfId="0" applyNumberFormat="1" applyFont="1" applyFill="1" applyBorder="1" applyAlignment="1">
      <alignment horizontal="center" vertical="center"/>
    </xf>
    <xf numFmtId="10" fontId="7" fillId="3" borderId="6" xfId="0" applyNumberFormat="1" applyFont="1" applyFill="1" applyBorder="1" applyAlignment="1">
      <alignment horizontal="center" vertical="center"/>
    </xf>
    <xf numFmtId="10" fontId="7" fillId="3" borderId="7" xfId="0" applyNumberFormat="1" applyFont="1" applyFill="1" applyBorder="1" applyAlignment="1">
      <alignment horizontal="center" vertical="center"/>
    </xf>
    <xf numFmtId="10" fontId="7" fillId="3" borderId="8" xfId="0" applyNumberFormat="1" applyFont="1" applyFill="1" applyBorder="1" applyAlignment="1">
      <alignment horizontal="center" vertical="center"/>
    </xf>
    <xf numFmtId="10" fontId="7" fillId="3" borderId="0" xfId="0" applyNumberFormat="1" applyFont="1" applyFill="1" applyBorder="1" applyAlignment="1">
      <alignment horizontal="center" vertical="center"/>
    </xf>
    <xf numFmtId="10" fontId="7" fillId="3" borderId="9" xfId="0" applyNumberFormat="1" applyFont="1" applyFill="1" applyBorder="1" applyAlignment="1">
      <alignment horizontal="center" vertical="center"/>
    </xf>
    <xf numFmtId="10" fontId="7" fillId="3" borderId="10" xfId="0" applyNumberFormat="1" applyFont="1" applyFill="1" applyBorder="1" applyAlignment="1">
      <alignment horizontal="center" vertical="center"/>
    </xf>
    <xf numFmtId="10" fontId="7" fillId="3" borderId="11" xfId="0" applyNumberFormat="1" applyFont="1" applyFill="1" applyBorder="1" applyAlignment="1">
      <alignment horizontal="center" vertical="center"/>
    </xf>
    <xf numFmtId="10" fontId="7" fillId="3" borderId="12" xfId="0" applyNumberFormat="1" applyFont="1" applyFill="1" applyBorder="1" applyAlignment="1">
      <alignment horizontal="center" vertical="center"/>
    </xf>
    <xf numFmtId="10" fontId="8" fillId="3" borderId="5" xfId="0" applyNumberFormat="1" applyFont="1" applyFill="1" applyBorder="1" applyAlignment="1">
      <alignment horizontal="center" vertical="center"/>
    </xf>
    <xf numFmtId="10" fontId="8" fillId="3" borderId="6" xfId="0" applyNumberFormat="1" applyFont="1" applyFill="1" applyBorder="1" applyAlignment="1">
      <alignment horizontal="center" vertical="center"/>
    </xf>
    <xf numFmtId="10" fontId="8" fillId="3" borderId="7" xfId="0" applyNumberFormat="1" applyFont="1" applyFill="1" applyBorder="1" applyAlignment="1">
      <alignment horizontal="center" vertical="center"/>
    </xf>
    <xf numFmtId="10" fontId="8" fillId="3" borderId="8" xfId="0" applyNumberFormat="1" applyFont="1" applyFill="1" applyBorder="1" applyAlignment="1">
      <alignment horizontal="center" vertical="center"/>
    </xf>
    <xf numFmtId="10" fontId="8" fillId="3" borderId="0" xfId="0" applyNumberFormat="1" applyFont="1" applyFill="1" applyBorder="1" applyAlignment="1">
      <alignment horizontal="center" vertical="center"/>
    </xf>
    <xf numFmtId="10" fontId="8" fillId="3" borderId="9" xfId="0" applyNumberFormat="1" applyFont="1" applyFill="1" applyBorder="1" applyAlignment="1">
      <alignment horizontal="center" vertical="center"/>
    </xf>
    <xf numFmtId="10" fontId="8" fillId="3" borderId="10" xfId="0" applyNumberFormat="1" applyFont="1" applyFill="1" applyBorder="1" applyAlignment="1">
      <alignment horizontal="center" vertical="center"/>
    </xf>
    <xf numFmtId="10" fontId="8" fillId="3" borderId="11" xfId="0" applyNumberFormat="1" applyFont="1" applyFill="1" applyBorder="1" applyAlignment="1">
      <alignment horizontal="center" vertical="center"/>
    </xf>
    <xf numFmtId="10" fontId="8" fillId="3" borderId="12" xfId="0" applyNumberFormat="1" applyFont="1" applyFill="1" applyBorder="1" applyAlignment="1">
      <alignment horizontal="center" vertical="center"/>
    </xf>
    <xf numFmtId="0" fontId="9" fillId="4" borderId="0" xfId="0" applyFont="1" applyFill="1" applyAlignment="1">
      <alignment horizontal="left" vertical="center" indent="1"/>
    </xf>
    <xf numFmtId="3" fontId="5" fillId="3" borderId="5" xfId="0" applyNumberFormat="1" applyFont="1" applyFill="1" applyBorder="1" applyAlignment="1">
      <alignment horizontal="center" vertical="center"/>
    </xf>
    <xf numFmtId="3" fontId="5" fillId="3" borderId="6" xfId="0" applyNumberFormat="1" applyFont="1" applyFill="1" applyBorder="1" applyAlignment="1">
      <alignment horizontal="center" vertical="center"/>
    </xf>
    <xf numFmtId="3" fontId="5" fillId="3" borderId="7" xfId="0" applyNumberFormat="1" applyFont="1" applyFill="1" applyBorder="1" applyAlignment="1">
      <alignment horizontal="center" vertical="center"/>
    </xf>
    <xf numFmtId="3" fontId="5" fillId="3" borderId="8" xfId="0" applyNumberFormat="1" applyFont="1" applyFill="1" applyBorder="1" applyAlignment="1">
      <alignment horizontal="center" vertical="center"/>
    </xf>
    <xf numFmtId="3" fontId="5" fillId="3" borderId="0" xfId="0" applyNumberFormat="1" applyFont="1" applyFill="1" applyBorder="1" applyAlignment="1">
      <alignment horizontal="center" vertical="center"/>
    </xf>
    <xf numFmtId="3" fontId="5" fillId="3" borderId="9" xfId="0" applyNumberFormat="1" applyFont="1" applyFill="1" applyBorder="1" applyAlignment="1">
      <alignment horizontal="center" vertical="center"/>
    </xf>
    <xf numFmtId="3" fontId="5" fillId="3" borderId="10" xfId="0" applyNumberFormat="1" applyFont="1" applyFill="1" applyBorder="1" applyAlignment="1">
      <alignment horizontal="center" vertical="center"/>
    </xf>
    <xf numFmtId="3" fontId="5" fillId="3" borderId="11" xfId="0" applyNumberFormat="1" applyFont="1" applyFill="1" applyBorder="1" applyAlignment="1">
      <alignment horizontal="center" vertical="center"/>
    </xf>
    <xf numFmtId="3" fontId="5" fillId="3" borderId="12" xfId="0" applyNumberFormat="1" applyFont="1" applyFill="1" applyBorder="1" applyAlignment="1">
      <alignment horizontal="center" vertical="center"/>
    </xf>
    <xf numFmtId="3" fontId="6" fillId="3" borderId="5" xfId="0" applyNumberFormat="1" applyFont="1" applyFill="1" applyBorder="1" applyAlignment="1">
      <alignment horizontal="center" vertical="center"/>
    </xf>
    <xf numFmtId="3" fontId="6" fillId="3" borderId="6" xfId="0" applyNumberFormat="1" applyFont="1" applyFill="1" applyBorder="1" applyAlignment="1">
      <alignment horizontal="center" vertical="center"/>
    </xf>
    <xf numFmtId="3" fontId="6" fillId="3" borderId="7" xfId="0" applyNumberFormat="1" applyFont="1" applyFill="1" applyBorder="1" applyAlignment="1">
      <alignment horizontal="center" vertical="center"/>
    </xf>
    <xf numFmtId="3" fontId="6" fillId="3" borderId="8" xfId="0" applyNumberFormat="1" applyFont="1" applyFill="1" applyBorder="1" applyAlignment="1">
      <alignment horizontal="center" vertical="center"/>
    </xf>
    <xf numFmtId="3" fontId="6" fillId="3" borderId="0" xfId="0" applyNumberFormat="1" applyFont="1" applyFill="1" applyBorder="1" applyAlignment="1">
      <alignment horizontal="center" vertical="center"/>
    </xf>
    <xf numFmtId="3" fontId="6" fillId="3" borderId="9" xfId="0" applyNumberFormat="1" applyFont="1" applyFill="1" applyBorder="1" applyAlignment="1">
      <alignment horizontal="center" vertical="center"/>
    </xf>
    <xf numFmtId="3" fontId="6" fillId="3" borderId="10" xfId="0" applyNumberFormat="1" applyFont="1" applyFill="1" applyBorder="1" applyAlignment="1">
      <alignment horizontal="center" vertical="center"/>
    </xf>
    <xf numFmtId="3" fontId="6" fillId="3" borderId="11" xfId="0" applyNumberFormat="1" applyFont="1" applyFill="1" applyBorder="1" applyAlignment="1">
      <alignment horizontal="center" vertical="center"/>
    </xf>
    <xf numFmtId="3" fontId="6" fillId="3" borderId="12" xfId="0" applyNumberFormat="1" applyFont="1" applyFill="1" applyBorder="1" applyAlignment="1">
      <alignment horizontal="center" vertical="center"/>
    </xf>
    <xf numFmtId="10" fontId="6" fillId="3" borderId="5" xfId="0" applyNumberFormat="1" applyFont="1" applyFill="1" applyBorder="1" applyAlignment="1">
      <alignment horizontal="center" vertical="center"/>
    </xf>
    <xf numFmtId="10" fontId="6" fillId="3" borderId="6" xfId="0" applyNumberFormat="1" applyFont="1" applyFill="1" applyBorder="1" applyAlignment="1">
      <alignment horizontal="center" vertical="center"/>
    </xf>
    <xf numFmtId="10" fontId="6" fillId="3" borderId="7" xfId="0" applyNumberFormat="1" applyFont="1" applyFill="1" applyBorder="1" applyAlignment="1">
      <alignment horizontal="center" vertical="center"/>
    </xf>
    <xf numFmtId="10" fontId="6" fillId="3" borderId="8" xfId="0" applyNumberFormat="1" applyFont="1" applyFill="1" applyBorder="1" applyAlignment="1">
      <alignment horizontal="center" vertical="center"/>
    </xf>
    <xf numFmtId="10" fontId="6" fillId="3" borderId="0" xfId="0" applyNumberFormat="1" applyFont="1" applyFill="1" applyBorder="1" applyAlignment="1">
      <alignment horizontal="center" vertical="center"/>
    </xf>
    <xf numFmtId="10" fontId="6" fillId="3" borderId="9" xfId="0" applyNumberFormat="1" applyFont="1" applyFill="1" applyBorder="1" applyAlignment="1">
      <alignment horizontal="center" vertical="center"/>
    </xf>
    <xf numFmtId="10" fontId="6" fillId="3" borderId="10" xfId="0" applyNumberFormat="1" applyFont="1" applyFill="1" applyBorder="1" applyAlignment="1">
      <alignment horizontal="center" vertical="center"/>
    </xf>
    <xf numFmtId="10" fontId="6" fillId="3" borderId="11" xfId="0" applyNumberFormat="1" applyFont="1" applyFill="1" applyBorder="1" applyAlignment="1">
      <alignment horizontal="center" vertical="center"/>
    </xf>
    <xf numFmtId="10" fontId="6" fillId="3" borderId="12" xfId="0" applyNumberFormat="1" applyFont="1" applyFill="1" applyBorder="1" applyAlignment="1">
      <alignment horizontal="center" vertical="center"/>
    </xf>
    <xf numFmtId="0" fontId="14" fillId="4" borderId="0" xfId="0" applyFont="1" applyFill="1" applyAlignment="1">
      <alignment horizontal="left" vertical="center" indent="1"/>
    </xf>
    <xf numFmtId="0" fontId="16" fillId="4" borderId="0" xfId="0" applyFont="1" applyFill="1" applyAlignment="1">
      <alignment horizontal="left" vertical="center" indent="1"/>
    </xf>
    <xf numFmtId="3" fontId="11" fillId="3" borderId="5" xfId="0" applyNumberFormat="1" applyFont="1" applyFill="1" applyBorder="1" applyAlignment="1">
      <alignment horizontal="center" vertical="center"/>
    </xf>
    <xf numFmtId="3" fontId="11" fillId="3" borderId="6" xfId="0" applyNumberFormat="1" applyFont="1" applyFill="1" applyBorder="1" applyAlignment="1">
      <alignment horizontal="center" vertical="center"/>
    </xf>
    <xf numFmtId="3" fontId="11" fillId="3" borderId="7" xfId="0" applyNumberFormat="1" applyFont="1" applyFill="1" applyBorder="1" applyAlignment="1">
      <alignment horizontal="center" vertical="center"/>
    </xf>
    <xf numFmtId="3" fontId="11" fillId="3" borderId="8" xfId="0" applyNumberFormat="1" applyFont="1" applyFill="1" applyBorder="1" applyAlignment="1">
      <alignment horizontal="center" vertical="center"/>
    </xf>
    <xf numFmtId="3" fontId="11" fillId="3" borderId="0" xfId="0" applyNumberFormat="1" applyFont="1" applyFill="1" applyBorder="1" applyAlignment="1">
      <alignment horizontal="center" vertical="center"/>
    </xf>
    <xf numFmtId="3" fontId="11" fillId="3" borderId="9" xfId="0" applyNumberFormat="1" applyFont="1" applyFill="1" applyBorder="1" applyAlignment="1">
      <alignment horizontal="center" vertical="center"/>
    </xf>
    <xf numFmtId="3" fontId="11" fillId="3" borderId="10" xfId="0" applyNumberFormat="1" applyFont="1" applyFill="1" applyBorder="1" applyAlignment="1">
      <alignment horizontal="center" vertical="center"/>
    </xf>
    <xf numFmtId="3" fontId="11" fillId="3" borderId="11" xfId="0" applyNumberFormat="1" applyFont="1" applyFill="1" applyBorder="1" applyAlignment="1">
      <alignment horizontal="center" vertical="center"/>
    </xf>
    <xf numFmtId="3" fontId="11" fillId="3" borderId="12" xfId="0" applyNumberFormat="1" applyFont="1" applyFill="1" applyBorder="1" applyAlignment="1">
      <alignment horizontal="center" vertical="center"/>
    </xf>
    <xf numFmtId="3" fontId="13" fillId="3" borderId="5" xfId="0" applyNumberFormat="1" applyFont="1" applyFill="1" applyBorder="1" applyAlignment="1">
      <alignment horizontal="center" vertical="center"/>
    </xf>
    <xf numFmtId="3" fontId="13" fillId="3" borderId="6" xfId="0" applyNumberFormat="1" applyFont="1" applyFill="1" applyBorder="1" applyAlignment="1">
      <alignment horizontal="center" vertical="center"/>
    </xf>
    <xf numFmtId="3" fontId="13" fillId="3" borderId="7" xfId="0" applyNumberFormat="1" applyFont="1" applyFill="1" applyBorder="1" applyAlignment="1">
      <alignment horizontal="center" vertical="center"/>
    </xf>
    <xf numFmtId="3" fontId="13" fillId="3" borderId="8" xfId="0" applyNumberFormat="1" applyFont="1" applyFill="1" applyBorder="1" applyAlignment="1">
      <alignment horizontal="center" vertical="center"/>
    </xf>
    <xf numFmtId="3" fontId="13" fillId="3" borderId="0" xfId="0" applyNumberFormat="1" applyFont="1" applyFill="1" applyBorder="1" applyAlignment="1">
      <alignment horizontal="center" vertical="center"/>
    </xf>
    <xf numFmtId="3" fontId="13" fillId="3" borderId="9" xfId="0" applyNumberFormat="1" applyFont="1" applyFill="1" applyBorder="1" applyAlignment="1">
      <alignment horizontal="center" vertical="center"/>
    </xf>
    <xf numFmtId="3" fontId="13" fillId="3" borderId="10" xfId="0" applyNumberFormat="1" applyFont="1" applyFill="1" applyBorder="1" applyAlignment="1">
      <alignment horizontal="center" vertical="center"/>
    </xf>
    <xf numFmtId="3" fontId="13" fillId="3" borderId="11" xfId="0" applyNumberFormat="1" applyFont="1" applyFill="1" applyBorder="1" applyAlignment="1">
      <alignment horizontal="center" vertical="center"/>
    </xf>
    <xf numFmtId="3" fontId="13" fillId="3" borderId="12" xfId="0" applyNumberFormat="1" applyFont="1" applyFill="1" applyBorder="1" applyAlignment="1">
      <alignment horizontal="center" vertical="center"/>
    </xf>
    <xf numFmtId="3" fontId="10" fillId="3" borderId="5" xfId="0" applyNumberFormat="1" applyFont="1" applyFill="1" applyBorder="1" applyAlignment="1">
      <alignment horizontal="center" vertical="center"/>
    </xf>
    <xf numFmtId="3" fontId="10" fillId="3" borderId="6" xfId="0" applyNumberFormat="1" applyFont="1" applyFill="1" applyBorder="1" applyAlignment="1">
      <alignment horizontal="center" vertical="center"/>
    </xf>
    <xf numFmtId="3" fontId="10" fillId="3" borderId="7" xfId="0" applyNumberFormat="1" applyFont="1" applyFill="1" applyBorder="1" applyAlignment="1">
      <alignment horizontal="center" vertical="center"/>
    </xf>
    <xf numFmtId="3" fontId="10" fillId="3" borderId="8" xfId="0" applyNumberFormat="1" applyFont="1" applyFill="1" applyBorder="1" applyAlignment="1">
      <alignment horizontal="center" vertical="center"/>
    </xf>
    <xf numFmtId="3" fontId="10" fillId="3" borderId="0" xfId="0" applyNumberFormat="1" applyFont="1" applyFill="1" applyBorder="1" applyAlignment="1">
      <alignment horizontal="center" vertical="center"/>
    </xf>
    <xf numFmtId="3" fontId="10" fillId="3" borderId="9" xfId="0" applyNumberFormat="1" applyFont="1" applyFill="1" applyBorder="1" applyAlignment="1">
      <alignment horizontal="center" vertical="center"/>
    </xf>
    <xf numFmtId="3" fontId="10" fillId="3" borderId="10" xfId="0" applyNumberFormat="1" applyFont="1" applyFill="1" applyBorder="1" applyAlignment="1">
      <alignment horizontal="center" vertical="center"/>
    </xf>
    <xf numFmtId="3" fontId="10" fillId="3" borderId="11" xfId="0" applyNumberFormat="1" applyFont="1" applyFill="1" applyBorder="1" applyAlignment="1">
      <alignment horizontal="center" vertical="center"/>
    </xf>
    <xf numFmtId="3" fontId="10" fillId="3" borderId="12" xfId="0" applyNumberFormat="1" applyFont="1" applyFill="1" applyBorder="1" applyAlignment="1">
      <alignment horizontal="center" vertical="center"/>
    </xf>
    <xf numFmtId="3" fontId="12" fillId="3" borderId="5" xfId="0" applyNumberFormat="1" applyFont="1" applyFill="1" applyBorder="1" applyAlignment="1">
      <alignment horizontal="center" vertical="center"/>
    </xf>
    <xf numFmtId="3" fontId="12" fillId="3" borderId="6" xfId="0" applyNumberFormat="1" applyFont="1" applyFill="1" applyBorder="1" applyAlignment="1">
      <alignment horizontal="center" vertical="center"/>
    </xf>
    <xf numFmtId="3" fontId="12" fillId="3" borderId="7" xfId="0" applyNumberFormat="1" applyFont="1" applyFill="1" applyBorder="1" applyAlignment="1">
      <alignment horizontal="center" vertical="center"/>
    </xf>
    <xf numFmtId="3" fontId="12" fillId="3" borderId="8" xfId="0" applyNumberFormat="1" applyFont="1" applyFill="1" applyBorder="1" applyAlignment="1">
      <alignment horizontal="center" vertical="center"/>
    </xf>
    <xf numFmtId="3" fontId="12" fillId="3" borderId="0" xfId="0" applyNumberFormat="1" applyFont="1" applyFill="1" applyBorder="1" applyAlignment="1">
      <alignment horizontal="center" vertical="center"/>
    </xf>
    <xf numFmtId="3" fontId="12" fillId="3" borderId="9" xfId="0" applyNumberFormat="1" applyFont="1" applyFill="1" applyBorder="1" applyAlignment="1">
      <alignment horizontal="center" vertical="center"/>
    </xf>
    <xf numFmtId="3" fontId="12" fillId="3" borderId="10" xfId="0" applyNumberFormat="1" applyFont="1" applyFill="1" applyBorder="1" applyAlignment="1">
      <alignment horizontal="center" vertical="center"/>
    </xf>
    <xf numFmtId="3" fontId="12" fillId="3" borderId="11" xfId="0" applyNumberFormat="1" applyFont="1" applyFill="1" applyBorder="1" applyAlignment="1">
      <alignment horizontal="center" vertical="center"/>
    </xf>
    <xf numFmtId="3" fontId="12" fillId="3" borderId="12" xfId="0" applyNumberFormat="1" applyFont="1" applyFill="1" applyBorder="1" applyAlignment="1">
      <alignment horizontal="center" vertical="center"/>
    </xf>
    <xf numFmtId="0" fontId="18" fillId="4" borderId="0" xfId="0" applyFont="1" applyFill="1" applyAlignment="1">
      <alignment horizontal="left" vertical="center" indent="1"/>
    </xf>
    <xf numFmtId="166" fontId="12" fillId="3" borderId="5" xfId="0" applyNumberFormat="1" applyFont="1" applyFill="1" applyBorder="1" applyAlignment="1">
      <alignment horizontal="center" vertical="center"/>
    </xf>
    <xf numFmtId="166" fontId="12" fillId="3" borderId="6" xfId="0" applyNumberFormat="1" applyFont="1" applyFill="1" applyBorder="1" applyAlignment="1">
      <alignment horizontal="center" vertical="center"/>
    </xf>
    <xf numFmtId="166" fontId="12" fillId="3" borderId="7" xfId="0" applyNumberFormat="1" applyFont="1" applyFill="1" applyBorder="1" applyAlignment="1">
      <alignment horizontal="center" vertical="center"/>
    </xf>
    <xf numFmtId="166" fontId="12" fillId="3" borderId="8" xfId="0" applyNumberFormat="1" applyFont="1" applyFill="1" applyBorder="1" applyAlignment="1">
      <alignment horizontal="center" vertical="center"/>
    </xf>
    <xf numFmtId="166" fontId="12" fillId="3" borderId="0" xfId="0" applyNumberFormat="1" applyFont="1" applyFill="1" applyBorder="1" applyAlignment="1">
      <alignment horizontal="center" vertical="center"/>
    </xf>
    <xf numFmtId="166" fontId="12" fillId="3" borderId="9" xfId="0" applyNumberFormat="1" applyFont="1" applyFill="1" applyBorder="1" applyAlignment="1">
      <alignment horizontal="center" vertical="center"/>
    </xf>
    <xf numFmtId="166" fontId="12" fillId="3" borderId="10" xfId="0" applyNumberFormat="1" applyFont="1" applyFill="1" applyBorder="1" applyAlignment="1">
      <alignment horizontal="center" vertical="center"/>
    </xf>
    <xf numFmtId="166" fontId="12" fillId="3" borderId="11" xfId="0" applyNumberFormat="1" applyFont="1" applyFill="1" applyBorder="1" applyAlignment="1">
      <alignment horizontal="center" vertical="center"/>
    </xf>
    <xf numFmtId="166" fontId="12" fillId="3" borderId="12" xfId="0" applyNumberFormat="1" applyFont="1" applyFill="1" applyBorder="1" applyAlignment="1">
      <alignment horizontal="center" vertical="center"/>
    </xf>
    <xf numFmtId="166" fontId="11" fillId="3" borderId="5" xfId="0" applyNumberFormat="1" applyFont="1" applyFill="1" applyBorder="1" applyAlignment="1">
      <alignment horizontal="center" vertical="center"/>
    </xf>
    <xf numFmtId="166" fontId="11" fillId="3" borderId="6" xfId="0" applyNumberFormat="1" applyFont="1" applyFill="1" applyBorder="1" applyAlignment="1">
      <alignment horizontal="center" vertical="center"/>
    </xf>
    <xf numFmtId="166" fontId="11" fillId="3" borderId="7"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66" fontId="11" fillId="3" borderId="0" xfId="0" applyNumberFormat="1" applyFont="1" applyFill="1" applyBorder="1" applyAlignment="1">
      <alignment horizontal="center" vertical="center"/>
    </xf>
    <xf numFmtId="166" fontId="11" fillId="3" borderId="9" xfId="0" applyNumberFormat="1" applyFont="1" applyFill="1" applyBorder="1" applyAlignment="1">
      <alignment horizontal="center" vertical="center"/>
    </xf>
    <xf numFmtId="166" fontId="11" fillId="3" borderId="10" xfId="0" applyNumberFormat="1" applyFont="1" applyFill="1" applyBorder="1" applyAlignment="1">
      <alignment horizontal="center" vertical="center"/>
    </xf>
    <xf numFmtId="166" fontId="11" fillId="3" borderId="11" xfId="0" applyNumberFormat="1" applyFont="1" applyFill="1" applyBorder="1" applyAlignment="1">
      <alignment horizontal="center" vertical="center"/>
    </xf>
    <xf numFmtId="166" fontId="11" fillId="3" borderId="12" xfId="0" applyNumberFormat="1" applyFont="1" applyFill="1" applyBorder="1" applyAlignment="1">
      <alignment horizontal="center" vertical="center"/>
    </xf>
    <xf numFmtId="10" fontId="17" fillId="3" borderId="5" xfId="0" applyNumberFormat="1" applyFont="1" applyFill="1" applyBorder="1" applyAlignment="1">
      <alignment horizontal="center" vertical="center"/>
    </xf>
    <xf numFmtId="10" fontId="17" fillId="3" borderId="6" xfId="0" applyNumberFormat="1" applyFont="1" applyFill="1" applyBorder="1" applyAlignment="1">
      <alignment horizontal="center" vertical="center"/>
    </xf>
    <xf numFmtId="10" fontId="17" fillId="3" borderId="7" xfId="0" applyNumberFormat="1" applyFont="1" applyFill="1" applyBorder="1" applyAlignment="1">
      <alignment horizontal="center" vertical="center"/>
    </xf>
    <xf numFmtId="10" fontId="17" fillId="3" borderId="8" xfId="0" applyNumberFormat="1" applyFont="1" applyFill="1" applyBorder="1" applyAlignment="1">
      <alignment horizontal="center" vertical="center"/>
    </xf>
    <xf numFmtId="10" fontId="17" fillId="3" borderId="0" xfId="0" applyNumberFormat="1" applyFont="1" applyFill="1" applyBorder="1" applyAlignment="1">
      <alignment horizontal="center" vertical="center"/>
    </xf>
    <xf numFmtId="10" fontId="17" fillId="3" borderId="9" xfId="0" applyNumberFormat="1" applyFont="1" applyFill="1" applyBorder="1" applyAlignment="1">
      <alignment horizontal="center" vertical="center"/>
    </xf>
    <xf numFmtId="10" fontId="17" fillId="3" borderId="10" xfId="0" applyNumberFormat="1" applyFont="1" applyFill="1" applyBorder="1" applyAlignment="1">
      <alignment horizontal="center" vertical="center"/>
    </xf>
    <xf numFmtId="10" fontId="17" fillId="3" borderId="11" xfId="0" applyNumberFormat="1" applyFont="1" applyFill="1" applyBorder="1" applyAlignment="1">
      <alignment horizontal="center" vertical="center"/>
    </xf>
    <xf numFmtId="10" fontId="17" fillId="3" borderId="12" xfId="0" applyNumberFormat="1" applyFont="1" applyFill="1" applyBorder="1" applyAlignment="1">
      <alignment horizontal="center" vertical="center"/>
    </xf>
    <xf numFmtId="10" fontId="12" fillId="3" borderId="5" xfId="0" applyNumberFormat="1" applyFont="1" applyFill="1" applyBorder="1" applyAlignment="1">
      <alignment horizontal="center" vertical="center"/>
    </xf>
    <xf numFmtId="10" fontId="12" fillId="3" borderId="6" xfId="0" applyNumberFormat="1" applyFont="1" applyFill="1" applyBorder="1" applyAlignment="1">
      <alignment horizontal="center" vertical="center"/>
    </xf>
    <xf numFmtId="10" fontId="12" fillId="3" borderId="7" xfId="0" applyNumberFormat="1" applyFont="1" applyFill="1" applyBorder="1" applyAlignment="1">
      <alignment horizontal="center" vertical="center"/>
    </xf>
    <xf numFmtId="10" fontId="12" fillId="3" borderId="8" xfId="0" applyNumberFormat="1" applyFont="1" applyFill="1" applyBorder="1" applyAlignment="1">
      <alignment horizontal="center" vertical="center"/>
    </xf>
    <xf numFmtId="10" fontId="12" fillId="3" borderId="0" xfId="0" applyNumberFormat="1" applyFont="1" applyFill="1" applyBorder="1" applyAlignment="1">
      <alignment horizontal="center" vertical="center"/>
    </xf>
    <xf numFmtId="10" fontId="12" fillId="3" borderId="9" xfId="0" applyNumberFormat="1" applyFont="1" applyFill="1" applyBorder="1" applyAlignment="1">
      <alignment horizontal="center" vertical="center"/>
    </xf>
    <xf numFmtId="10" fontId="12" fillId="3" borderId="10" xfId="0" applyNumberFormat="1" applyFont="1" applyFill="1" applyBorder="1" applyAlignment="1">
      <alignment horizontal="center" vertical="center"/>
    </xf>
    <xf numFmtId="10" fontId="12" fillId="3" borderId="11" xfId="0" applyNumberFormat="1" applyFont="1" applyFill="1" applyBorder="1" applyAlignment="1">
      <alignment horizontal="center" vertical="center"/>
    </xf>
    <xf numFmtId="10" fontId="12" fillId="3" borderId="12" xfId="0" applyNumberFormat="1" applyFont="1" applyFill="1" applyBorder="1" applyAlignment="1">
      <alignment horizontal="center" vertical="center"/>
    </xf>
  </cellXfs>
  <cellStyles count="1">
    <cellStyle name="Normal" xfId="0" builtinId="0"/>
  </cellStyles>
  <dxfs count="8">
    <dxf>
      <numFmt numFmtId="165" formatCode="#,##0,,&quot;tr&quot;"/>
    </dxf>
    <dxf>
      <font>
        <sz val="8.5"/>
      </font>
    </dxf>
    <dxf>
      <numFmt numFmtId="165" formatCode="#,##0,,&quot;tr&quot;"/>
    </dxf>
    <dxf>
      <font>
        <sz val="8.5"/>
      </font>
    </dxf>
    <dxf>
      <numFmt numFmtId="165" formatCode="#,##0,,&quot;tr&quot;"/>
    </dxf>
    <dxf>
      <font>
        <sz val="8.5"/>
      </font>
    </dxf>
    <dxf>
      <font>
        <sz val="8.5"/>
      </font>
    </dxf>
    <dxf>
      <numFmt numFmtId="165" formatCode="#,##0,,&quot;tr&quo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33"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6.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2.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[Dashboard.xlsx]1. Executive Sales!db1_month</c:name>
    <c:fmtId val="0"/>
  </c:pivotSource>
  <c:chart>
    <c:title>
      <c:tx>
        <c:rich>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r>
              <a:rPr lang="en-US"/>
              <a:t>Revenue Net theo THÁNG</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endParaRPr lang="en-US"/>
        </a:p>
      </c:txPr>
    </c:title>
    <c:autoTitleDeleted val="0"/>
    <c:pivotFmts>
      <c:pivotFmt>
        <c:idx val="0"/>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 Executive Sales'!$BS$20</c:f>
              <c:strCache>
                <c:ptCount val="1"/>
                <c:pt idx="0">
                  <c:v>Total</c:v>
                </c:pt>
              </c:strCache>
            </c:strRef>
          </c:tx>
          <c:spPr>
            <a:solidFill>
              <a:srgbClr val="2563EB"/>
            </a:solidFill>
            <a:ln>
              <a:noFill/>
            </a:ln>
            <a:effectLst/>
          </c:spPr>
          <c:invertIfNegative val="0"/>
          <c:cat>
            <c:strRef>
              <c:f>'1. Executive Sales'!$BR$21:$BR$27</c:f>
              <c:strCache>
                <c:ptCount val="6"/>
                <c:pt idx="0">
                  <c:v>2026-01</c:v>
                </c:pt>
                <c:pt idx="1">
                  <c:v>2026-02</c:v>
                </c:pt>
                <c:pt idx="2">
                  <c:v>2026-03</c:v>
                </c:pt>
                <c:pt idx="3">
                  <c:v>2026-04</c:v>
                </c:pt>
                <c:pt idx="4">
                  <c:v>2026-05</c:v>
                </c:pt>
                <c:pt idx="5">
                  <c:v>2026-06</c:v>
                </c:pt>
              </c:strCache>
            </c:strRef>
          </c:cat>
          <c:val>
            <c:numRef>
              <c:f>'1. Executive Sales'!$BS$21:$BS$27</c:f>
              <c:numCache>
                <c:formatCode>General</c:formatCode>
                <c:ptCount val="6"/>
                <c:pt idx="0">
                  <c:v>642593910</c:v>
                </c:pt>
                <c:pt idx="1">
                  <c:v>514718460</c:v>
                </c:pt>
                <c:pt idx="2">
                  <c:v>895400650</c:v>
                </c:pt>
                <c:pt idx="3">
                  <c:v>688069060</c:v>
                </c:pt>
                <c:pt idx="4">
                  <c:v>1512309680</c:v>
                </c:pt>
                <c:pt idx="5">
                  <c:v>955578890</c:v>
                </c:pt>
              </c:numCache>
            </c:numRef>
          </c:val>
          <c:extLst>
            <c:ext xmlns:c16="http://schemas.microsoft.com/office/drawing/2014/chart" uri="{C3380CC4-5D6E-409C-BE32-E72D297353CC}">
              <c16:uniqueId val="{00000001-1763-4DEB-96B5-B5EA7B4D915B}"/>
            </c:ext>
          </c:extLst>
        </c:ser>
        <c:dLbls>
          <c:showLegendKey val="0"/>
          <c:showVal val="0"/>
          <c:showCatName val="0"/>
          <c:showSerName val="0"/>
          <c:showPercent val="0"/>
          <c:showBubbleSize val="0"/>
        </c:dLbls>
        <c:gapWidth val="55"/>
        <c:overlap val="-27"/>
        <c:axId val="555105407"/>
        <c:axId val="555105887"/>
      </c:barChart>
      <c:catAx>
        <c:axId val="55510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55105887"/>
        <c:crosses val="autoZero"/>
        <c:auto val="1"/>
        <c:lblAlgn val="ctr"/>
        <c:lblOffset val="100"/>
        <c:noMultiLvlLbl val="0"/>
      </c:catAx>
      <c:valAx>
        <c:axId val="555105887"/>
        <c:scaling>
          <c:orientation val="minMax"/>
        </c:scaling>
        <c:delete val="0"/>
        <c:axPos val="l"/>
        <c:majorGridlines>
          <c:spPr>
            <a:ln w="9525" cap="flat" cmpd="sng" algn="ctr">
              <a:solidFill>
                <a:schemeClr val="tx1">
                  <a:lumMod val="15000"/>
                  <a:lumOff val="85000"/>
                </a:schemeClr>
              </a:solidFill>
              <a:round/>
            </a:ln>
            <a:effectLst/>
          </c:spPr>
        </c:majorGridlines>
        <c:numFmt formatCode="#,##0,,&quot;tr&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55105407"/>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[Dashboard.xlsx]1. Executive Sales!db1_prod</c:name>
    <c:fmtId val="0"/>
  </c:pivotSource>
  <c:chart>
    <c:title>
      <c:tx>
        <c:rich>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r>
              <a:rPr lang="en-US"/>
              <a:t>Top 10 sản phẩm theo Gross Profit</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endParaRPr lang="en-US"/>
        </a:p>
      </c:txPr>
    </c:title>
    <c:autoTitleDeleted val="0"/>
    <c:pivotFmts>
      <c:pivotFmt>
        <c:idx val="0"/>
        <c:spPr>
          <a:solidFill>
            <a:srgbClr val="16A3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 Executive Sales'!$CK$20</c:f>
              <c:strCache>
                <c:ptCount val="1"/>
                <c:pt idx="0">
                  <c:v>Total</c:v>
                </c:pt>
              </c:strCache>
            </c:strRef>
          </c:tx>
          <c:spPr>
            <a:solidFill>
              <a:srgbClr val="16A34A"/>
            </a:solidFill>
            <a:ln>
              <a:noFill/>
            </a:ln>
            <a:effectLst/>
          </c:spPr>
          <c:invertIfNegative val="0"/>
          <c:cat>
            <c:strRef>
              <c:f>'1. Executive Sales'!$CJ$21:$CJ$31</c:f>
              <c:strCache>
                <c:ptCount val="10"/>
                <c:pt idx="0">
                  <c:v>Dầu nhớt 25</c:v>
                </c:pt>
                <c:pt idx="1">
                  <c:v>Hóa chất 06</c:v>
                </c:pt>
                <c:pt idx="2">
                  <c:v>Ắc quy 08</c:v>
                </c:pt>
                <c:pt idx="3">
                  <c:v>Phụ tùng thân vỏ 23</c:v>
                </c:pt>
                <c:pt idx="4">
                  <c:v>Dầu nhớt 31</c:v>
                </c:pt>
                <c:pt idx="5">
                  <c:v>Phụ tùng thân vỏ 29</c:v>
                </c:pt>
                <c:pt idx="6">
                  <c:v>Lốp 15</c:v>
                </c:pt>
                <c:pt idx="7">
                  <c:v>Hóa chất 12</c:v>
                </c:pt>
                <c:pt idx="8">
                  <c:v>Hóa chất 24</c:v>
                </c:pt>
                <c:pt idx="9">
                  <c:v>Phụ tùng nhanh 10</c:v>
                </c:pt>
              </c:strCache>
            </c:strRef>
          </c:cat>
          <c:val>
            <c:numRef>
              <c:f>'1. Executive Sales'!$CK$21:$CK$31</c:f>
              <c:numCache>
                <c:formatCode>General</c:formatCode>
                <c:ptCount val="10"/>
                <c:pt idx="0">
                  <c:v>83295360</c:v>
                </c:pt>
                <c:pt idx="1">
                  <c:v>70964100</c:v>
                </c:pt>
                <c:pt idx="2">
                  <c:v>65476080</c:v>
                </c:pt>
                <c:pt idx="3">
                  <c:v>57420000</c:v>
                </c:pt>
                <c:pt idx="4">
                  <c:v>55586880</c:v>
                </c:pt>
                <c:pt idx="5">
                  <c:v>50377500</c:v>
                </c:pt>
                <c:pt idx="6">
                  <c:v>47611440</c:v>
                </c:pt>
                <c:pt idx="7">
                  <c:v>44741700</c:v>
                </c:pt>
                <c:pt idx="8">
                  <c:v>42512400</c:v>
                </c:pt>
                <c:pt idx="9">
                  <c:v>37742400</c:v>
                </c:pt>
              </c:numCache>
            </c:numRef>
          </c:val>
          <c:extLst>
            <c:ext xmlns:c16="http://schemas.microsoft.com/office/drawing/2014/chart" uri="{C3380CC4-5D6E-409C-BE32-E72D297353CC}">
              <c16:uniqueId val="{00000001-9815-4D62-81F8-95C1E9ADADCB}"/>
            </c:ext>
          </c:extLst>
        </c:ser>
        <c:dLbls>
          <c:showLegendKey val="0"/>
          <c:showVal val="0"/>
          <c:showCatName val="0"/>
          <c:showSerName val="0"/>
          <c:showPercent val="0"/>
          <c:showBubbleSize val="0"/>
        </c:dLbls>
        <c:gapWidth val="55"/>
        <c:axId val="555107327"/>
        <c:axId val="555108287"/>
      </c:barChart>
      <c:catAx>
        <c:axId val="555107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55108287"/>
        <c:crosses val="autoZero"/>
        <c:auto val="1"/>
        <c:lblAlgn val="ctr"/>
        <c:lblOffset val="100"/>
        <c:noMultiLvlLbl val="0"/>
      </c:catAx>
      <c:valAx>
        <c:axId val="555108287"/>
        <c:scaling>
          <c:orientation val="minMax"/>
        </c:scaling>
        <c:delete val="0"/>
        <c:axPos val="b"/>
        <c:majorGridlines>
          <c:spPr>
            <a:ln w="9525" cap="flat" cmpd="sng" algn="ctr">
              <a:solidFill>
                <a:schemeClr val="tx1">
                  <a:lumMod val="15000"/>
                  <a:lumOff val="85000"/>
                </a:schemeClr>
              </a:solidFill>
              <a:round/>
            </a:ln>
            <a:effectLst/>
          </c:spPr>
        </c:majorGridlines>
        <c:numFmt formatCode="#,##0,,&quot;tr&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55107327"/>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[Dashboard.xlsx]1. Executive Sales!db1_region</c:name>
    <c:fmtId val="0"/>
  </c:pivotSource>
  <c:chart>
    <c:title>
      <c:tx>
        <c:rich>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r>
              <a:rPr lang="en-US"/>
              <a:t>Revenue Net theo VÙNG khách</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endParaRPr lang="en-US"/>
        </a:p>
      </c:txPr>
    </c:title>
    <c:autoTitleDeleted val="0"/>
    <c:pivotFmts>
      <c:pivotFmt>
        <c:idx val="0"/>
        <c:spPr>
          <a:solidFill>
            <a:srgbClr val="0D94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 Executive Sales'!$BY$20</c:f>
              <c:strCache>
                <c:ptCount val="1"/>
                <c:pt idx="0">
                  <c:v>Total</c:v>
                </c:pt>
              </c:strCache>
            </c:strRef>
          </c:tx>
          <c:spPr>
            <a:solidFill>
              <a:srgbClr val="0D9488"/>
            </a:solidFill>
            <a:ln>
              <a:noFill/>
            </a:ln>
            <a:effectLst/>
          </c:spPr>
          <c:invertIfNegative val="0"/>
          <c:cat>
            <c:strRef>
              <c:f>'1. Executive Sales'!$BX$21:$BX$25</c:f>
              <c:strCache>
                <c:ptCount val="4"/>
                <c:pt idx="0">
                  <c:v>(Unknown)</c:v>
                </c:pt>
                <c:pt idx="1">
                  <c:v>Miền Bắc</c:v>
                </c:pt>
                <c:pt idx="2">
                  <c:v>Miền Nam</c:v>
                </c:pt>
                <c:pt idx="3">
                  <c:v>Miền Trung</c:v>
                </c:pt>
              </c:strCache>
            </c:strRef>
          </c:cat>
          <c:val>
            <c:numRef>
              <c:f>'1. Executive Sales'!$BY$21:$BY$25</c:f>
              <c:numCache>
                <c:formatCode>General</c:formatCode>
                <c:ptCount val="4"/>
                <c:pt idx="0">
                  <c:v>37712000</c:v>
                </c:pt>
                <c:pt idx="1">
                  <c:v>1947827200</c:v>
                </c:pt>
                <c:pt idx="2">
                  <c:v>1792218470</c:v>
                </c:pt>
                <c:pt idx="3">
                  <c:v>1430912980</c:v>
                </c:pt>
              </c:numCache>
            </c:numRef>
          </c:val>
          <c:extLst>
            <c:ext xmlns:c16="http://schemas.microsoft.com/office/drawing/2014/chart" uri="{C3380CC4-5D6E-409C-BE32-E72D297353CC}">
              <c16:uniqueId val="{00000001-702B-487B-B24C-3D79678430EC}"/>
            </c:ext>
          </c:extLst>
        </c:ser>
        <c:dLbls>
          <c:showLegendKey val="0"/>
          <c:showVal val="0"/>
          <c:showCatName val="0"/>
          <c:showSerName val="0"/>
          <c:showPercent val="0"/>
          <c:showBubbleSize val="0"/>
        </c:dLbls>
        <c:gapWidth val="55"/>
        <c:axId val="555108767"/>
        <c:axId val="560333135"/>
      </c:barChart>
      <c:catAx>
        <c:axId val="555108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0333135"/>
        <c:crosses val="autoZero"/>
        <c:auto val="1"/>
        <c:lblAlgn val="ctr"/>
        <c:lblOffset val="100"/>
        <c:noMultiLvlLbl val="0"/>
      </c:catAx>
      <c:valAx>
        <c:axId val="560333135"/>
        <c:scaling>
          <c:orientation val="minMax"/>
        </c:scaling>
        <c:delete val="0"/>
        <c:axPos val="b"/>
        <c:majorGridlines>
          <c:spPr>
            <a:ln w="9525" cap="flat" cmpd="sng" algn="ctr">
              <a:solidFill>
                <a:schemeClr val="tx1">
                  <a:lumMod val="15000"/>
                  <a:lumOff val="85000"/>
                </a:schemeClr>
              </a:solidFill>
              <a:round/>
            </a:ln>
            <a:effectLst/>
          </c:spPr>
        </c:majorGridlines>
        <c:numFmt formatCode="#,##0,,&quot;tr&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55108767"/>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[Dashboard.xlsx]1. Executive Sales!db1_cat</c:name>
    <c:fmtId val="0"/>
  </c:pivotSource>
  <c:chart>
    <c:title>
      <c:tx>
        <c:rich>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r>
              <a:rPr lang="en-US"/>
              <a:t>Revenue Net theo NHÓM HÀNG</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endParaRPr lang="en-US"/>
        </a:p>
      </c:txPr>
    </c:title>
    <c:autoTitleDeleted val="0"/>
    <c:pivotFmts>
      <c:pivotFmt>
        <c:idx val="0"/>
        <c:spPr>
          <a:solidFill>
            <a:srgbClr val="7C3A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 Executive Sales'!$CE$20</c:f>
              <c:strCache>
                <c:ptCount val="1"/>
                <c:pt idx="0">
                  <c:v>Total</c:v>
                </c:pt>
              </c:strCache>
            </c:strRef>
          </c:tx>
          <c:spPr>
            <a:solidFill>
              <a:srgbClr val="7C3AED"/>
            </a:solidFill>
            <a:ln>
              <a:noFill/>
            </a:ln>
            <a:effectLst/>
          </c:spPr>
          <c:invertIfNegative val="0"/>
          <c:cat>
            <c:strRef>
              <c:f>'1. Executive Sales'!$CD$21:$CD$28</c:f>
              <c:strCache>
                <c:ptCount val="7"/>
                <c:pt idx="0">
                  <c:v>Dầu nhớt</c:v>
                </c:pt>
                <c:pt idx="1">
                  <c:v>Ắc quy</c:v>
                </c:pt>
                <c:pt idx="2">
                  <c:v>Hóa chất</c:v>
                </c:pt>
                <c:pt idx="3">
                  <c:v>Phụ tùng thân vỏ</c:v>
                </c:pt>
                <c:pt idx="4">
                  <c:v>Lốp</c:v>
                </c:pt>
                <c:pt idx="5">
                  <c:v>Phụ tùng nhanh</c:v>
                </c:pt>
                <c:pt idx="6">
                  <c:v>(Unknown)</c:v>
                </c:pt>
              </c:strCache>
            </c:strRef>
          </c:cat>
          <c:val>
            <c:numRef>
              <c:f>'1. Executive Sales'!$CE$21:$CE$28</c:f>
              <c:numCache>
                <c:formatCode>General</c:formatCode>
                <c:ptCount val="7"/>
                <c:pt idx="0">
                  <c:v>1074967900</c:v>
                </c:pt>
                <c:pt idx="1">
                  <c:v>1000535080</c:v>
                </c:pt>
                <c:pt idx="2">
                  <c:v>951724080</c:v>
                </c:pt>
                <c:pt idx="3">
                  <c:v>813056660</c:v>
                </c:pt>
                <c:pt idx="4">
                  <c:v>755306860</c:v>
                </c:pt>
                <c:pt idx="5">
                  <c:v>576249570</c:v>
                </c:pt>
                <c:pt idx="6">
                  <c:v>36830500</c:v>
                </c:pt>
              </c:numCache>
            </c:numRef>
          </c:val>
          <c:extLst>
            <c:ext xmlns:c16="http://schemas.microsoft.com/office/drawing/2014/chart" uri="{C3380CC4-5D6E-409C-BE32-E72D297353CC}">
              <c16:uniqueId val="{00000001-1445-463B-87BA-ED7B004E5262}"/>
            </c:ext>
          </c:extLst>
        </c:ser>
        <c:dLbls>
          <c:showLegendKey val="0"/>
          <c:showVal val="0"/>
          <c:showCatName val="0"/>
          <c:showSerName val="0"/>
          <c:showPercent val="0"/>
          <c:showBubbleSize val="0"/>
        </c:dLbls>
        <c:gapWidth val="55"/>
        <c:axId val="560334095"/>
        <c:axId val="560331215"/>
      </c:barChart>
      <c:catAx>
        <c:axId val="560334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0331215"/>
        <c:crosses val="autoZero"/>
        <c:auto val="1"/>
        <c:lblAlgn val="ctr"/>
        <c:lblOffset val="100"/>
        <c:noMultiLvlLbl val="0"/>
      </c:catAx>
      <c:valAx>
        <c:axId val="560331215"/>
        <c:scaling>
          <c:orientation val="minMax"/>
        </c:scaling>
        <c:delete val="0"/>
        <c:axPos val="b"/>
        <c:majorGridlines>
          <c:spPr>
            <a:ln w="9525" cap="flat" cmpd="sng" algn="ctr">
              <a:solidFill>
                <a:schemeClr val="tx1">
                  <a:lumMod val="15000"/>
                  <a:lumOff val="85000"/>
                </a:schemeClr>
              </a:solidFill>
              <a:round/>
            </a:ln>
            <a:effectLst/>
          </c:spPr>
        </c:majorGridlines>
        <c:numFmt formatCode="#,##0,,&quot;tr&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0334095"/>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r>
              <a:rPr lang="en-US"/>
              <a:t>Index theo THÁNG</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endParaRPr lang="en-US"/>
        </a:p>
      </c:txPr>
    </c:title>
    <c:autoTitleDeleted val="0"/>
    <c:plotArea>
      <c:layout/>
      <c:barChart>
        <c:barDir val="col"/>
        <c:grouping val="clustered"/>
        <c:varyColors val="0"/>
        <c:ser>
          <c:idx val="0"/>
          <c:order val="0"/>
          <c:tx>
            <c:strRef>
              <c:f>ach_month!$E$1</c:f>
              <c:strCache>
                <c:ptCount val="1"/>
                <c:pt idx="0">
                  <c:v>Index</c:v>
                </c:pt>
              </c:strCache>
            </c:strRef>
          </c:tx>
          <c:spPr>
            <a:solidFill>
              <a:srgbClr val="2563EB"/>
            </a:solidFill>
            <a:ln>
              <a:noFill/>
            </a:ln>
            <a:effectLst/>
          </c:spPr>
          <c:invertIfNegative val="0"/>
          <c:cat>
            <c:strRef>
              <c:f>ach_month!$A$2:$A$7</c:f>
              <c:strCache>
                <c:ptCount val="6"/>
                <c:pt idx="0">
                  <c:v>2026-01</c:v>
                </c:pt>
                <c:pt idx="1">
                  <c:v>2026-02</c:v>
                </c:pt>
                <c:pt idx="2">
                  <c:v>2026-03</c:v>
                </c:pt>
                <c:pt idx="3">
                  <c:v>2026-04</c:v>
                </c:pt>
                <c:pt idx="4">
                  <c:v>2026-05</c:v>
                </c:pt>
                <c:pt idx="5">
                  <c:v>2026-06</c:v>
                </c:pt>
              </c:strCache>
            </c:strRef>
          </c:cat>
          <c:val>
            <c:numRef>
              <c:f>ach_month!$E$2:$E$7</c:f>
              <c:numCache>
                <c:formatCode>General</c:formatCode>
                <c:ptCount val="6"/>
                <c:pt idx="0">
                  <c:v>71.852427822030933</c:v>
                </c:pt>
                <c:pt idx="1">
                  <c:v>60.866271153967041</c:v>
                </c:pt>
                <c:pt idx="2">
                  <c:v>107.71489260668881</c:v>
                </c:pt>
                <c:pt idx="3">
                  <c:v>71.287536753305275</c:v>
                </c:pt>
                <c:pt idx="4">
                  <c:v>189.8406324440931</c:v>
                </c:pt>
                <c:pt idx="5">
                  <c:v>107.5939237114551</c:v>
                </c:pt>
              </c:numCache>
            </c:numRef>
          </c:val>
          <c:extLst>
            <c:ext xmlns:c16="http://schemas.microsoft.com/office/drawing/2014/chart" uri="{C3380CC4-5D6E-409C-BE32-E72D297353CC}">
              <c16:uniqueId val="{00000000-925E-48A0-8B26-3BEBF509922D}"/>
            </c:ext>
          </c:extLst>
        </c:ser>
        <c:dLbls>
          <c:showLegendKey val="0"/>
          <c:showVal val="0"/>
          <c:showCatName val="0"/>
          <c:showSerName val="0"/>
          <c:showPercent val="0"/>
          <c:showBubbleSize val="0"/>
        </c:dLbls>
        <c:gapWidth val="219"/>
        <c:overlap val="-27"/>
        <c:axId val="560335535"/>
        <c:axId val="560338415"/>
      </c:barChart>
      <c:catAx>
        <c:axId val="56033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0338415"/>
        <c:crosses val="autoZero"/>
        <c:auto val="1"/>
        <c:lblAlgn val="ctr"/>
        <c:lblOffset val="100"/>
        <c:noMultiLvlLbl val="0"/>
      </c:catAx>
      <c:valAx>
        <c:axId val="5603384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0335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r>
              <a:rPr lang="en-US"/>
              <a:t>Index theo VÙNG</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endParaRPr lang="en-US"/>
        </a:p>
      </c:txPr>
    </c:title>
    <c:autoTitleDeleted val="0"/>
    <c:plotArea>
      <c:layout/>
      <c:barChart>
        <c:barDir val="col"/>
        <c:grouping val="clustered"/>
        <c:varyColors val="0"/>
        <c:ser>
          <c:idx val="0"/>
          <c:order val="0"/>
          <c:tx>
            <c:strRef>
              <c:f>ach_region!$E$1</c:f>
              <c:strCache>
                <c:ptCount val="1"/>
                <c:pt idx="0">
                  <c:v>Index</c:v>
                </c:pt>
              </c:strCache>
            </c:strRef>
          </c:tx>
          <c:spPr>
            <a:solidFill>
              <a:srgbClr val="0D9488"/>
            </a:solidFill>
            <a:ln>
              <a:noFill/>
            </a:ln>
            <a:effectLst/>
          </c:spPr>
          <c:invertIfNegative val="0"/>
          <c:cat>
            <c:strRef>
              <c:f>ach_region!$A$2:$A$4</c:f>
              <c:strCache>
                <c:ptCount val="3"/>
                <c:pt idx="0">
                  <c:v>Miền Bắc</c:v>
                </c:pt>
                <c:pt idx="1">
                  <c:v>Miền Nam</c:v>
                </c:pt>
                <c:pt idx="2">
                  <c:v>Miền Trung</c:v>
                </c:pt>
              </c:strCache>
            </c:strRef>
          </c:cat>
          <c:val>
            <c:numRef>
              <c:f>ach_region!$E$2:$E$4</c:f>
              <c:numCache>
                <c:formatCode>General</c:formatCode>
                <c:ptCount val="3"/>
                <c:pt idx="0">
                  <c:v>124.94450266184791</c:v>
                </c:pt>
                <c:pt idx="1">
                  <c:v>99.490691883373955</c:v>
                </c:pt>
                <c:pt idx="2">
                  <c:v>78.593827132427251</c:v>
                </c:pt>
              </c:numCache>
            </c:numRef>
          </c:val>
          <c:extLst>
            <c:ext xmlns:c16="http://schemas.microsoft.com/office/drawing/2014/chart" uri="{C3380CC4-5D6E-409C-BE32-E72D297353CC}">
              <c16:uniqueId val="{00000000-0523-43B4-8152-1432B0DE66A7}"/>
            </c:ext>
          </c:extLst>
        </c:ser>
        <c:dLbls>
          <c:showLegendKey val="0"/>
          <c:showVal val="0"/>
          <c:showCatName val="0"/>
          <c:showSerName val="0"/>
          <c:showPercent val="0"/>
          <c:showBubbleSize val="0"/>
        </c:dLbls>
        <c:gapWidth val="219"/>
        <c:overlap val="-27"/>
        <c:axId val="560329775"/>
        <c:axId val="560335055"/>
      </c:barChart>
      <c:catAx>
        <c:axId val="56032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0335055"/>
        <c:crosses val="autoZero"/>
        <c:auto val="1"/>
        <c:lblAlgn val="ctr"/>
        <c:lblOffset val="100"/>
        <c:noMultiLvlLbl val="0"/>
      </c:catAx>
      <c:valAx>
        <c:axId val="5603350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0329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r>
              <a:rPr lang="en-US"/>
              <a:t>Index theo NHÓM HÀNG</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endParaRPr lang="en-US"/>
        </a:p>
      </c:txPr>
    </c:title>
    <c:autoTitleDeleted val="0"/>
    <c:plotArea>
      <c:layout/>
      <c:barChart>
        <c:barDir val="col"/>
        <c:grouping val="clustered"/>
        <c:varyColors val="0"/>
        <c:ser>
          <c:idx val="0"/>
          <c:order val="0"/>
          <c:tx>
            <c:strRef>
              <c:f>ach_cat!$E$1</c:f>
              <c:strCache>
                <c:ptCount val="1"/>
                <c:pt idx="0">
                  <c:v>Index</c:v>
                </c:pt>
              </c:strCache>
            </c:strRef>
          </c:tx>
          <c:spPr>
            <a:solidFill>
              <a:srgbClr val="7C3AED"/>
            </a:solidFill>
            <a:ln>
              <a:noFill/>
            </a:ln>
            <a:effectLst/>
          </c:spPr>
          <c:invertIfNegative val="0"/>
          <c:cat>
            <c:strRef>
              <c:f>ach_cat!$A$2:$A$7</c:f>
              <c:strCache>
                <c:ptCount val="6"/>
                <c:pt idx="0">
                  <c:v>Dầu nhớt</c:v>
                </c:pt>
                <c:pt idx="1">
                  <c:v>Hóa chất</c:v>
                </c:pt>
                <c:pt idx="2">
                  <c:v>Lốp</c:v>
                </c:pt>
                <c:pt idx="3">
                  <c:v>Phụ tùng nhanh</c:v>
                </c:pt>
                <c:pt idx="4">
                  <c:v>Phụ tùng thân vỏ</c:v>
                </c:pt>
                <c:pt idx="5">
                  <c:v>Ắc quy</c:v>
                </c:pt>
              </c:strCache>
            </c:strRef>
          </c:cat>
          <c:val>
            <c:numRef>
              <c:f>ach_cat!$E$2:$E$7</c:f>
              <c:numCache>
                <c:formatCode>General</c:formatCode>
                <c:ptCount val="6"/>
                <c:pt idx="0">
                  <c:v>119.48206584482971</c:v>
                </c:pt>
                <c:pt idx="1">
                  <c:v>120.7301754982759</c:v>
                </c:pt>
                <c:pt idx="2">
                  <c:v>80.755069473335823</c:v>
                </c:pt>
                <c:pt idx="3">
                  <c:v>67.040712538585993</c:v>
                </c:pt>
                <c:pt idx="4">
                  <c:v>94.717839892055551</c:v>
                </c:pt>
                <c:pt idx="5">
                  <c:v>121.3095056556034</c:v>
                </c:pt>
              </c:numCache>
            </c:numRef>
          </c:val>
          <c:extLst>
            <c:ext xmlns:c16="http://schemas.microsoft.com/office/drawing/2014/chart" uri="{C3380CC4-5D6E-409C-BE32-E72D297353CC}">
              <c16:uniqueId val="{00000000-25CE-4D7B-B916-5E6BC653FE4E}"/>
            </c:ext>
          </c:extLst>
        </c:ser>
        <c:dLbls>
          <c:showLegendKey val="0"/>
          <c:showVal val="0"/>
          <c:showCatName val="0"/>
          <c:showSerName val="0"/>
          <c:showPercent val="0"/>
          <c:showBubbleSize val="0"/>
        </c:dLbls>
        <c:gapWidth val="219"/>
        <c:overlap val="-27"/>
        <c:axId val="560328815"/>
        <c:axId val="560328335"/>
      </c:barChart>
      <c:catAx>
        <c:axId val="56032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0328335"/>
        <c:crosses val="autoZero"/>
        <c:auto val="1"/>
        <c:lblAlgn val="ctr"/>
        <c:lblOffset val="100"/>
        <c:noMultiLvlLbl val="0"/>
      </c:catAx>
      <c:valAx>
        <c:axId val="560328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0328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rgbClr val="0F172A"/>
                </a:solidFill>
                <a:latin typeface="+mn-lt"/>
                <a:ea typeface="+mn-ea"/>
                <a:cs typeface="+mn-cs"/>
              </a:defRPr>
            </a:pPr>
            <a:r>
              <a:rPr lang="en-US"/>
              <a:t>MOC vs Giá trị tồn (bubble=OnHandQty) — góc trên-phải MOC&gt;12 &amp; &gt;127,6tr = Slow&amp;Heavy</a:t>
            </a:r>
          </a:p>
        </c:rich>
      </c:tx>
      <c:overlay val="0"/>
      <c:spPr>
        <a:noFill/>
        <a:ln>
          <a:noFill/>
        </a:ln>
        <a:effectLst/>
      </c:spPr>
      <c:txPr>
        <a:bodyPr rot="0" spcFirstLastPara="1" vertOverflow="ellipsis" vert="horz" wrap="square" anchor="ctr" anchorCtr="1"/>
        <a:lstStyle/>
        <a:p>
          <a:pPr>
            <a:defRPr sz="1050" b="1" i="0" u="none" strike="noStrike" kern="1200" spc="0" baseline="0">
              <a:solidFill>
                <a:srgbClr val="0F172A"/>
              </a:solidFill>
              <a:latin typeface="+mn-lt"/>
              <a:ea typeface="+mn-ea"/>
              <a:cs typeface="+mn-cs"/>
            </a:defRPr>
          </a:pPr>
          <a:endParaRPr lang="en-US"/>
        </a:p>
      </c:txPr>
    </c:title>
    <c:autoTitleDeleted val="0"/>
    <c:plotArea>
      <c:layout/>
      <c:bubbleChart>
        <c:varyColors val="0"/>
        <c:ser>
          <c:idx val="0"/>
          <c:order val="0"/>
          <c:tx>
            <c:v>Item</c:v>
          </c:tx>
          <c:spPr>
            <a:solidFill>
              <a:srgbClr val="2563EB">
                <a:alpha val="65000"/>
              </a:srgbClr>
            </a:solidFill>
            <a:ln w="25400">
              <a:noFill/>
            </a:ln>
            <a:effectLst/>
          </c:spPr>
          <c:invertIfNegative val="0"/>
          <c:xVal>
            <c:numRef>
              <c:f>scatter!$A$2:$A$37</c:f>
              <c:numCache>
                <c:formatCode>General</c:formatCode>
                <c:ptCount val="36"/>
                <c:pt idx="0">
                  <c:v>8.2142857142857135</c:v>
                </c:pt>
                <c:pt idx="1">
                  <c:v>5.833333333333333</c:v>
                </c:pt>
                <c:pt idx="2">
                  <c:v>7.7692307692307692</c:v>
                </c:pt>
                <c:pt idx="3">
                  <c:v>6.8411214953271031</c:v>
                </c:pt>
                <c:pt idx="4">
                  <c:v>4.698666666666667</c:v>
                </c:pt>
                <c:pt idx="5">
                  <c:v>11.52857142857143</c:v>
                </c:pt>
                <c:pt idx="6">
                  <c:v>16.106951871657749</c:v>
                </c:pt>
                <c:pt idx="7">
                  <c:v>9.2195121951219523</c:v>
                </c:pt>
                <c:pt idx="8">
                  <c:v>11.46666666666667</c:v>
                </c:pt>
                <c:pt idx="9">
                  <c:v>6.41958041958042</c:v>
                </c:pt>
                <c:pt idx="10">
                  <c:v>45.31707317073171</c:v>
                </c:pt>
                <c:pt idx="11">
                  <c:v>14.671232876712329</c:v>
                </c:pt>
                <c:pt idx="12">
                  <c:v>8.5396825396825395</c:v>
                </c:pt>
                <c:pt idx="13">
                  <c:v>45.15789473684211</c:v>
                </c:pt>
                <c:pt idx="14">
                  <c:v>4.345945945945946</c:v>
                </c:pt>
                <c:pt idx="15">
                  <c:v>2.6363636363636358</c:v>
                </c:pt>
                <c:pt idx="16">
                  <c:v>15.247058823529411</c:v>
                </c:pt>
                <c:pt idx="17">
                  <c:v>3.5</c:v>
                </c:pt>
                <c:pt idx="18">
                  <c:v>13.393939393939389</c:v>
                </c:pt>
                <c:pt idx="19">
                  <c:v>5.4074074074074074</c:v>
                </c:pt>
                <c:pt idx="20">
                  <c:v>30.04195804195804</c:v>
                </c:pt>
                <c:pt idx="21">
                  <c:v>9.952095808383234</c:v>
                </c:pt>
                <c:pt idx="22">
                  <c:v>12.829268292682929</c:v>
                </c:pt>
                <c:pt idx="23">
                  <c:v>5.4725274725274726</c:v>
                </c:pt>
                <c:pt idx="24">
                  <c:v>11.47368421052632</c:v>
                </c:pt>
                <c:pt idx="25">
                  <c:v>2.29746835443038</c:v>
                </c:pt>
                <c:pt idx="26">
                  <c:v>18.68181818181818</c:v>
                </c:pt>
                <c:pt idx="27">
                  <c:v>16.62857142857143</c:v>
                </c:pt>
                <c:pt idx="28">
                  <c:v>6.1590909090909092</c:v>
                </c:pt>
                <c:pt idx="29">
                  <c:v>3.873417721518988</c:v>
                </c:pt>
                <c:pt idx="30">
                  <c:v>5.3956834532374094</c:v>
                </c:pt>
                <c:pt idx="31">
                  <c:v>10.791366906474821</c:v>
                </c:pt>
                <c:pt idx="32">
                  <c:v>65.684210526315795</c:v>
                </c:pt>
                <c:pt idx="33">
                  <c:v>9.5666666666666664</c:v>
                </c:pt>
                <c:pt idx="34">
                  <c:v>22.919254658385089</c:v>
                </c:pt>
                <c:pt idx="35">
                  <c:v>30.555555555555561</c:v>
                </c:pt>
              </c:numCache>
            </c:numRef>
          </c:xVal>
          <c:yVal>
            <c:numRef>
              <c:f>scatter!$B$2:$B$37</c:f>
              <c:numCache>
                <c:formatCode>General</c:formatCode>
                <c:ptCount val="36"/>
                <c:pt idx="0">
                  <c:v>41400000</c:v>
                </c:pt>
                <c:pt idx="1">
                  <c:v>49000000</c:v>
                </c:pt>
                <c:pt idx="2">
                  <c:v>36360000</c:v>
                </c:pt>
                <c:pt idx="3">
                  <c:v>43920000</c:v>
                </c:pt>
                <c:pt idx="4">
                  <c:v>105720000</c:v>
                </c:pt>
                <c:pt idx="5">
                  <c:v>484200000</c:v>
                </c:pt>
                <c:pt idx="6">
                  <c:v>175700000</c:v>
                </c:pt>
                <c:pt idx="7">
                  <c:v>567000000</c:v>
                </c:pt>
                <c:pt idx="8">
                  <c:v>123840000</c:v>
                </c:pt>
                <c:pt idx="9">
                  <c:v>137700000</c:v>
                </c:pt>
                <c:pt idx="10">
                  <c:v>325150000</c:v>
                </c:pt>
                <c:pt idx="11">
                  <c:v>321300000</c:v>
                </c:pt>
                <c:pt idx="12">
                  <c:v>129120000</c:v>
                </c:pt>
                <c:pt idx="13">
                  <c:v>257400000</c:v>
                </c:pt>
                <c:pt idx="14">
                  <c:v>241200000</c:v>
                </c:pt>
                <c:pt idx="15">
                  <c:v>56550000</c:v>
                </c:pt>
                <c:pt idx="16">
                  <c:v>38880000</c:v>
                </c:pt>
                <c:pt idx="17">
                  <c:v>43680000</c:v>
                </c:pt>
                <c:pt idx="18">
                  <c:v>198900000</c:v>
                </c:pt>
                <c:pt idx="19">
                  <c:v>94900000</c:v>
                </c:pt>
                <c:pt idx="20">
                  <c:v>250600000</c:v>
                </c:pt>
                <c:pt idx="21">
                  <c:v>49860000</c:v>
                </c:pt>
                <c:pt idx="22">
                  <c:v>473400000</c:v>
                </c:pt>
                <c:pt idx="23">
                  <c:v>99600000</c:v>
                </c:pt>
                <c:pt idx="24">
                  <c:v>588600000</c:v>
                </c:pt>
                <c:pt idx="25">
                  <c:v>14520000</c:v>
                </c:pt>
                <c:pt idx="26">
                  <c:v>246600000</c:v>
                </c:pt>
                <c:pt idx="27">
                  <c:v>126100000</c:v>
                </c:pt>
                <c:pt idx="28">
                  <c:v>243900000</c:v>
                </c:pt>
                <c:pt idx="29">
                  <c:v>48960000</c:v>
                </c:pt>
                <c:pt idx="30">
                  <c:v>225000000</c:v>
                </c:pt>
                <c:pt idx="31">
                  <c:v>225000000</c:v>
                </c:pt>
                <c:pt idx="32">
                  <c:v>72800000</c:v>
                </c:pt>
                <c:pt idx="33">
                  <c:v>51660000</c:v>
                </c:pt>
                <c:pt idx="34">
                  <c:v>153750000</c:v>
                </c:pt>
                <c:pt idx="35">
                  <c:v>49500000</c:v>
                </c:pt>
              </c:numCache>
            </c:numRef>
          </c:yVal>
          <c:bubbleSize>
            <c:numRef>
              <c:f>scatter!$C$2:$C$37</c:f>
              <c:numCache>
                <c:formatCode>General</c:formatCode>
                <c:ptCount val="36"/>
                <c:pt idx="0">
                  <c:v>230</c:v>
                </c:pt>
                <c:pt idx="1">
                  <c:v>140</c:v>
                </c:pt>
                <c:pt idx="2">
                  <c:v>202</c:v>
                </c:pt>
                <c:pt idx="3">
                  <c:v>244</c:v>
                </c:pt>
                <c:pt idx="4">
                  <c:v>881</c:v>
                </c:pt>
                <c:pt idx="5">
                  <c:v>269</c:v>
                </c:pt>
                <c:pt idx="6">
                  <c:v>502</c:v>
                </c:pt>
                <c:pt idx="7">
                  <c:v>315</c:v>
                </c:pt>
                <c:pt idx="8">
                  <c:v>258</c:v>
                </c:pt>
                <c:pt idx="9">
                  <c:v>153</c:v>
                </c:pt>
                <c:pt idx="10">
                  <c:v>929</c:v>
                </c:pt>
                <c:pt idx="11">
                  <c:v>357</c:v>
                </c:pt>
                <c:pt idx="12">
                  <c:v>269</c:v>
                </c:pt>
                <c:pt idx="13">
                  <c:v>143</c:v>
                </c:pt>
                <c:pt idx="14">
                  <c:v>134</c:v>
                </c:pt>
                <c:pt idx="15">
                  <c:v>87</c:v>
                </c:pt>
                <c:pt idx="16">
                  <c:v>216</c:v>
                </c:pt>
                <c:pt idx="17">
                  <c:v>91</c:v>
                </c:pt>
                <c:pt idx="18">
                  <c:v>221</c:v>
                </c:pt>
                <c:pt idx="19">
                  <c:v>146</c:v>
                </c:pt>
                <c:pt idx="20">
                  <c:v>716</c:v>
                </c:pt>
                <c:pt idx="21">
                  <c:v>277</c:v>
                </c:pt>
                <c:pt idx="22">
                  <c:v>263</c:v>
                </c:pt>
                <c:pt idx="23">
                  <c:v>83</c:v>
                </c:pt>
                <c:pt idx="24">
                  <c:v>327</c:v>
                </c:pt>
                <c:pt idx="25">
                  <c:v>121</c:v>
                </c:pt>
                <c:pt idx="26">
                  <c:v>274</c:v>
                </c:pt>
                <c:pt idx="27">
                  <c:v>194</c:v>
                </c:pt>
                <c:pt idx="28">
                  <c:v>271</c:v>
                </c:pt>
                <c:pt idx="29">
                  <c:v>102</c:v>
                </c:pt>
                <c:pt idx="30">
                  <c:v>125</c:v>
                </c:pt>
                <c:pt idx="31">
                  <c:v>250</c:v>
                </c:pt>
                <c:pt idx="32">
                  <c:v>208</c:v>
                </c:pt>
                <c:pt idx="33">
                  <c:v>287</c:v>
                </c:pt>
                <c:pt idx="34">
                  <c:v>615</c:v>
                </c:pt>
                <c:pt idx="35">
                  <c:v>275</c:v>
                </c:pt>
              </c:numCache>
            </c:numRef>
          </c:bubbleSize>
          <c:bubble3D val="0"/>
          <c:extLst>
            <c:ext xmlns:c16="http://schemas.microsoft.com/office/drawing/2014/chart" uri="{C3380CC4-5D6E-409C-BE32-E72D297353CC}">
              <c16:uniqueId val="{00000001-B894-42BC-8DE2-F63EBC272987}"/>
            </c:ext>
          </c:extLst>
        </c:ser>
        <c:dLbls>
          <c:showLegendKey val="0"/>
          <c:showVal val="0"/>
          <c:showCatName val="0"/>
          <c:showSerName val="0"/>
          <c:showPercent val="0"/>
          <c:showBubbleSize val="0"/>
        </c:dLbls>
        <c:bubbleScale val="100"/>
        <c:showNegBubbles val="0"/>
        <c:axId val="560337455"/>
        <c:axId val="560337935"/>
      </c:bubbleChart>
      <c:valAx>
        <c:axId val="560337455"/>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a:t>MOC (tháng)</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0337935"/>
        <c:crosses val="autoZero"/>
        <c:crossBetween val="midCat"/>
      </c:valAx>
      <c:valAx>
        <c:axId val="560337935"/>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a:t>Giá trị tồn</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0,,&quot;tr&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03374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[Dashboard.xlsx]2. Inventory!db2_wh</c:name>
    <c:fmtId val="0"/>
  </c:pivotSource>
  <c:chart>
    <c:title>
      <c:tx>
        <c:rich>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r>
              <a:rPr lang="en-US"/>
              <a:t>Tồn theo KHO</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endParaRPr lang="en-US"/>
        </a:p>
      </c:txPr>
    </c:title>
    <c:autoTitleDeleted val="0"/>
    <c:pivotFmts>
      <c:pivotFmt>
        <c:idx val="0"/>
        <c:spPr>
          <a:solidFill>
            <a:srgbClr val="0D94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 Inventory'!$BY$20</c:f>
              <c:strCache>
                <c:ptCount val="1"/>
                <c:pt idx="0">
                  <c:v>Total</c:v>
                </c:pt>
              </c:strCache>
            </c:strRef>
          </c:tx>
          <c:spPr>
            <a:solidFill>
              <a:srgbClr val="0D9488"/>
            </a:solidFill>
            <a:ln>
              <a:noFill/>
            </a:ln>
            <a:effectLst/>
          </c:spPr>
          <c:invertIfNegative val="0"/>
          <c:cat>
            <c:strRef>
              <c:f>'2. Inventory'!$BX$21:$BX$25</c:f>
              <c:strCache>
                <c:ptCount val="4"/>
                <c:pt idx="0">
                  <c:v>Kho Đà Nẵng</c:v>
                </c:pt>
                <c:pt idx="1">
                  <c:v>Kho Đông Anh</c:v>
                </c:pt>
                <c:pt idx="2">
                  <c:v>Kho Hà Nội</c:v>
                </c:pt>
                <c:pt idx="3">
                  <c:v>Kho HCM</c:v>
                </c:pt>
              </c:strCache>
            </c:strRef>
          </c:cat>
          <c:val>
            <c:numRef>
              <c:f>'2. Inventory'!$BY$21:$BY$25</c:f>
              <c:numCache>
                <c:formatCode>General</c:formatCode>
                <c:ptCount val="4"/>
                <c:pt idx="0">
                  <c:v>1629770000</c:v>
                </c:pt>
                <c:pt idx="1">
                  <c:v>1503460000</c:v>
                </c:pt>
                <c:pt idx="2">
                  <c:v>1723270000</c:v>
                </c:pt>
                <c:pt idx="3">
                  <c:v>1535270000</c:v>
                </c:pt>
              </c:numCache>
            </c:numRef>
          </c:val>
          <c:extLst>
            <c:ext xmlns:c16="http://schemas.microsoft.com/office/drawing/2014/chart" uri="{C3380CC4-5D6E-409C-BE32-E72D297353CC}">
              <c16:uniqueId val="{00000001-6E17-4874-A8E2-4AF894B6E68B}"/>
            </c:ext>
          </c:extLst>
        </c:ser>
        <c:dLbls>
          <c:showLegendKey val="0"/>
          <c:showVal val="0"/>
          <c:showCatName val="0"/>
          <c:showSerName val="0"/>
          <c:showPercent val="0"/>
          <c:showBubbleSize val="0"/>
        </c:dLbls>
        <c:gapWidth val="55"/>
        <c:axId val="560326895"/>
        <c:axId val="560339375"/>
      </c:barChart>
      <c:catAx>
        <c:axId val="560326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0339375"/>
        <c:crosses val="autoZero"/>
        <c:auto val="1"/>
        <c:lblAlgn val="ctr"/>
        <c:lblOffset val="100"/>
        <c:noMultiLvlLbl val="0"/>
      </c:catAx>
      <c:valAx>
        <c:axId val="560339375"/>
        <c:scaling>
          <c:orientation val="minMax"/>
        </c:scaling>
        <c:delete val="0"/>
        <c:axPos val="b"/>
        <c:majorGridlines>
          <c:spPr>
            <a:ln w="9525" cap="flat" cmpd="sng" algn="ctr">
              <a:solidFill>
                <a:schemeClr val="tx1">
                  <a:lumMod val="15000"/>
                  <a:lumOff val="85000"/>
                </a:schemeClr>
              </a:solidFill>
              <a:round/>
            </a:ln>
            <a:effectLst/>
          </c:spPr>
        </c:majorGridlines>
        <c:numFmt formatCode="#,##0,,&quot;tr&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0326895"/>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[Dashboard.xlsx]2. Inventory!db2_cat</c:name>
    <c:fmtId val="0"/>
  </c:pivotSource>
  <c:chart>
    <c:title>
      <c:tx>
        <c:rich>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r>
              <a:rPr lang="en-US"/>
              <a:t>Tồn theo NHÓM HÀNG</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endParaRPr lang="en-US"/>
        </a:p>
      </c:txPr>
    </c:title>
    <c:autoTitleDeleted val="0"/>
    <c:pivotFmts>
      <c:pivotFmt>
        <c:idx val="0"/>
        <c:spPr>
          <a:solidFill>
            <a:srgbClr val="7C3A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 Inventory'!$CE$20</c:f>
              <c:strCache>
                <c:ptCount val="1"/>
                <c:pt idx="0">
                  <c:v>Total</c:v>
                </c:pt>
              </c:strCache>
            </c:strRef>
          </c:tx>
          <c:spPr>
            <a:solidFill>
              <a:srgbClr val="7C3AED"/>
            </a:solidFill>
            <a:ln>
              <a:noFill/>
            </a:ln>
            <a:effectLst/>
          </c:spPr>
          <c:invertIfNegative val="0"/>
          <c:cat>
            <c:strRef>
              <c:f>'2. Inventory'!$CD$21:$CD$27</c:f>
              <c:strCache>
                <c:ptCount val="6"/>
                <c:pt idx="0">
                  <c:v>Dầu nhớt</c:v>
                </c:pt>
                <c:pt idx="1">
                  <c:v>Phụ tùng thân vỏ</c:v>
                </c:pt>
                <c:pt idx="2">
                  <c:v>Ắc quy</c:v>
                </c:pt>
                <c:pt idx="3">
                  <c:v>Hóa chất</c:v>
                </c:pt>
                <c:pt idx="4">
                  <c:v>Lốp</c:v>
                </c:pt>
                <c:pt idx="5">
                  <c:v>Phụ tùng nhanh</c:v>
                </c:pt>
              </c:strCache>
            </c:strRef>
          </c:cat>
          <c:val>
            <c:numRef>
              <c:f>'2. Inventory'!$CE$21:$CE$27</c:f>
              <c:numCache>
                <c:formatCode>General</c:formatCode>
                <c:ptCount val="6"/>
                <c:pt idx="0">
                  <c:v>1358720000</c:v>
                </c:pt>
                <c:pt idx="1">
                  <c:v>1340800000</c:v>
                </c:pt>
                <c:pt idx="2">
                  <c:v>1207820000</c:v>
                </c:pt>
                <c:pt idx="3">
                  <c:v>1047240000</c:v>
                </c:pt>
                <c:pt idx="4">
                  <c:v>971400000</c:v>
                </c:pt>
                <c:pt idx="5">
                  <c:v>465790000</c:v>
                </c:pt>
              </c:numCache>
            </c:numRef>
          </c:val>
          <c:extLst>
            <c:ext xmlns:c16="http://schemas.microsoft.com/office/drawing/2014/chart" uri="{C3380CC4-5D6E-409C-BE32-E72D297353CC}">
              <c16:uniqueId val="{00000001-2EB4-4F9B-9779-5B54E429546F}"/>
            </c:ext>
          </c:extLst>
        </c:ser>
        <c:dLbls>
          <c:showLegendKey val="0"/>
          <c:showVal val="0"/>
          <c:showCatName val="0"/>
          <c:showSerName val="0"/>
          <c:showPercent val="0"/>
          <c:showBubbleSize val="0"/>
        </c:dLbls>
        <c:gapWidth val="55"/>
        <c:axId val="562645071"/>
        <c:axId val="562635951"/>
      </c:barChart>
      <c:catAx>
        <c:axId val="56264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2635951"/>
        <c:crosses val="autoZero"/>
        <c:auto val="1"/>
        <c:lblAlgn val="ctr"/>
        <c:lblOffset val="100"/>
        <c:noMultiLvlLbl val="0"/>
      </c:catAx>
      <c:valAx>
        <c:axId val="562635951"/>
        <c:scaling>
          <c:orientation val="minMax"/>
        </c:scaling>
        <c:delete val="0"/>
        <c:axPos val="b"/>
        <c:majorGridlines>
          <c:spPr>
            <a:ln w="9525" cap="flat" cmpd="sng" algn="ctr">
              <a:solidFill>
                <a:schemeClr val="tx1">
                  <a:lumMod val="15000"/>
                  <a:lumOff val="85000"/>
                </a:schemeClr>
              </a:solidFill>
              <a:round/>
            </a:ln>
            <a:effectLst/>
          </c:spPr>
        </c:majorGridlines>
        <c:numFmt formatCode="#,##0,,&quot;tr&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2645071"/>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r>
              <a:rPr lang="en-US"/>
              <a:t>Reconciliation (cộng dồn)</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endParaRPr lang="en-US"/>
        </a:p>
      </c:txPr>
    </c:title>
    <c:autoTitleDeleted val="0"/>
    <c:plotArea>
      <c:layout/>
      <c:barChart>
        <c:barDir val="col"/>
        <c:grouping val="clustered"/>
        <c:varyColors val="0"/>
        <c:ser>
          <c:idx val="0"/>
          <c:order val="0"/>
          <c:tx>
            <c:strRef>
              <c:f>recon!$B$1</c:f>
              <c:strCache>
                <c:ptCount val="1"/>
                <c:pt idx="0">
                  <c:v>Cumulative</c:v>
                </c:pt>
              </c:strCache>
            </c:strRef>
          </c:tx>
          <c:spPr>
            <a:solidFill>
              <a:srgbClr val="2563EB"/>
            </a:solidFill>
            <a:ln>
              <a:noFill/>
            </a:ln>
            <a:effectLst/>
          </c:spPr>
          <c:invertIfNegative val="0"/>
          <c:cat>
            <c:strRef>
              <c:f>recon!$A$2:$A$5</c:f>
              <c:strCache>
                <c:ptCount val="4"/>
                <c:pt idx="0">
                  <c:v>A. Gross Revenue</c:v>
                </c:pt>
                <c:pt idx="1">
                  <c:v>B. − Dòng trùng</c:v>
                </c:pt>
                <c:pt idx="2">
                  <c:v>C. − Qty=900</c:v>
                </c:pt>
                <c:pt idx="3">
                  <c:v>D. − Hàng trả</c:v>
                </c:pt>
              </c:strCache>
            </c:strRef>
          </c:cat>
          <c:val>
            <c:numRef>
              <c:f>recon!$B$2:$B$5</c:f>
              <c:numCache>
                <c:formatCode>General</c:formatCode>
                <c:ptCount val="4"/>
                <c:pt idx="0">
                  <c:v>5463412100</c:v>
                </c:pt>
                <c:pt idx="1">
                  <c:v>5451456100</c:v>
                </c:pt>
                <c:pt idx="2">
                  <c:v>5316456100</c:v>
                </c:pt>
                <c:pt idx="3">
                  <c:v>5208670650</c:v>
                </c:pt>
              </c:numCache>
            </c:numRef>
          </c:val>
          <c:extLst>
            <c:ext xmlns:c16="http://schemas.microsoft.com/office/drawing/2014/chart" uri="{C3380CC4-5D6E-409C-BE32-E72D297353CC}">
              <c16:uniqueId val="{00000000-79BB-41C6-89E2-D4B2D6D0C06A}"/>
            </c:ext>
          </c:extLst>
        </c:ser>
        <c:dLbls>
          <c:showLegendKey val="0"/>
          <c:showVal val="0"/>
          <c:showCatName val="0"/>
          <c:showSerName val="0"/>
          <c:showPercent val="0"/>
          <c:showBubbleSize val="0"/>
        </c:dLbls>
        <c:gapWidth val="219"/>
        <c:overlap val="-27"/>
        <c:axId val="562649391"/>
        <c:axId val="562640271"/>
      </c:barChart>
      <c:catAx>
        <c:axId val="56264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2640271"/>
        <c:crosses val="autoZero"/>
        <c:auto val="1"/>
        <c:lblAlgn val="ctr"/>
        <c:lblOffset val="100"/>
        <c:noMultiLvlLbl val="0"/>
      </c:catAx>
      <c:valAx>
        <c:axId val="562640271"/>
        <c:scaling>
          <c:orientation val="minMax"/>
        </c:scaling>
        <c:delete val="0"/>
        <c:axPos val="l"/>
        <c:majorGridlines>
          <c:spPr>
            <a:ln w="9525" cap="flat" cmpd="sng" algn="ctr">
              <a:solidFill>
                <a:schemeClr val="tx1">
                  <a:lumMod val="15000"/>
                  <a:lumOff val="85000"/>
                </a:schemeClr>
              </a:solidFill>
              <a:round/>
            </a:ln>
            <a:effectLst/>
          </c:spPr>
        </c:majorGridlines>
        <c:numFmt formatCode="#,##0,,&quot;tr&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2649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r>
              <a:rPr lang="en-US"/>
              <a:t>3 kịch bản làm sạch</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endParaRPr lang="en-US"/>
        </a:p>
      </c:txPr>
    </c:title>
    <c:autoTitleDeleted val="0"/>
    <c:plotArea>
      <c:layout/>
      <c:barChart>
        <c:barDir val="col"/>
        <c:grouping val="clustered"/>
        <c:varyColors val="0"/>
        <c:ser>
          <c:idx val="0"/>
          <c:order val="0"/>
          <c:tx>
            <c:strRef>
              <c:f>scenarios!$B$1</c:f>
              <c:strCache>
                <c:ptCount val="1"/>
                <c:pt idx="0">
                  <c:v>RevenueNet</c:v>
                </c:pt>
              </c:strCache>
            </c:strRef>
          </c:tx>
          <c:spPr>
            <a:solidFill>
              <a:srgbClr val="D97706"/>
            </a:solidFill>
            <a:ln>
              <a:noFill/>
            </a:ln>
            <a:effectLst/>
          </c:spPr>
          <c:invertIfNegative val="0"/>
          <c:cat>
            <c:strRef>
              <c:f>scenarios!$A$2:$A$4</c:f>
              <c:strCache>
                <c:ptCount val="3"/>
                <c:pt idx="0">
                  <c:v>Làm sạch ĐÚNG</c:v>
                </c:pt>
                <c:pt idx="1">
                  <c:v>KHÔNG làm sạch</c:v>
                </c:pt>
                <c:pt idx="2">
                  <c:v>Dedupe SAI</c:v>
                </c:pt>
              </c:strCache>
            </c:strRef>
          </c:cat>
          <c:val>
            <c:numRef>
              <c:f>scenarios!$B$2:$B$4</c:f>
              <c:numCache>
                <c:formatCode>General</c:formatCode>
                <c:ptCount val="3"/>
                <c:pt idx="0">
                  <c:v>5208670650</c:v>
                </c:pt>
                <c:pt idx="1">
                  <c:v>5355626650</c:v>
                </c:pt>
                <c:pt idx="2">
                  <c:v>4915616000</c:v>
                </c:pt>
              </c:numCache>
            </c:numRef>
          </c:val>
          <c:extLst>
            <c:ext xmlns:c16="http://schemas.microsoft.com/office/drawing/2014/chart" uri="{C3380CC4-5D6E-409C-BE32-E72D297353CC}">
              <c16:uniqueId val="{00000000-1D3F-4437-976F-E3837B8D18CA}"/>
            </c:ext>
          </c:extLst>
        </c:ser>
        <c:dLbls>
          <c:showLegendKey val="0"/>
          <c:showVal val="0"/>
          <c:showCatName val="0"/>
          <c:showSerName val="0"/>
          <c:showPercent val="0"/>
          <c:showBubbleSize val="0"/>
        </c:dLbls>
        <c:gapWidth val="219"/>
        <c:overlap val="-27"/>
        <c:axId val="562646031"/>
        <c:axId val="562646991"/>
      </c:barChart>
      <c:catAx>
        <c:axId val="56264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2646991"/>
        <c:crosses val="autoZero"/>
        <c:auto val="1"/>
        <c:lblAlgn val="ctr"/>
        <c:lblOffset val="100"/>
        <c:noMultiLvlLbl val="0"/>
      </c:catAx>
      <c:valAx>
        <c:axId val="562646991"/>
        <c:scaling>
          <c:orientation val="minMax"/>
        </c:scaling>
        <c:delete val="0"/>
        <c:axPos val="l"/>
        <c:majorGridlines>
          <c:spPr>
            <a:ln w="9525" cap="flat" cmpd="sng" algn="ctr">
              <a:solidFill>
                <a:schemeClr val="tx1">
                  <a:lumMod val="15000"/>
                  <a:lumOff val="85000"/>
                </a:schemeClr>
              </a:solidFill>
              <a:round/>
            </a:ln>
            <a:effectLst/>
          </c:spPr>
        </c:majorGridlines>
        <c:numFmt formatCode="#,##0,,&quot;tr&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2646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r>
              <a:rPr lang="en-US"/>
              <a:t>Vi phạm % theo nhân viên</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172A"/>
              </a:solidFill>
              <a:latin typeface="+mn-lt"/>
              <a:ea typeface="+mn-ea"/>
              <a:cs typeface="+mn-cs"/>
            </a:defRPr>
          </a:pPr>
          <a:endParaRPr lang="en-US"/>
        </a:p>
      </c:txPr>
    </c:title>
    <c:autoTitleDeleted val="0"/>
    <c:plotArea>
      <c:layout/>
      <c:barChart>
        <c:barDir val="col"/>
        <c:grouping val="clustered"/>
        <c:varyColors val="0"/>
        <c:ser>
          <c:idx val="0"/>
          <c:order val="0"/>
          <c:tx>
            <c:strRef>
              <c:f>pv_score!$D$1</c:f>
              <c:strCache>
                <c:ptCount val="1"/>
                <c:pt idx="0">
                  <c:v>Pct</c:v>
                </c:pt>
              </c:strCache>
            </c:strRef>
          </c:tx>
          <c:spPr>
            <a:solidFill>
              <a:srgbClr val="7C3AED"/>
            </a:solidFill>
            <a:ln>
              <a:noFill/>
            </a:ln>
            <a:effectLst/>
          </c:spPr>
          <c:invertIfNegative val="0"/>
          <c:cat>
            <c:strRef>
              <c:f>pv_score!$A$2:$A$5</c:f>
              <c:strCache>
                <c:ptCount val="4"/>
                <c:pt idx="0">
                  <c:v>NV Dũng</c:v>
                </c:pt>
                <c:pt idx="1">
                  <c:v>NV Bình</c:v>
                </c:pt>
                <c:pt idx="2">
                  <c:v>NV An</c:v>
                </c:pt>
                <c:pt idx="3">
                  <c:v>NV Chi</c:v>
                </c:pt>
              </c:strCache>
            </c:strRef>
          </c:cat>
          <c:val>
            <c:numRef>
              <c:f>pv_score!$D$2:$D$5</c:f>
              <c:numCache>
                <c:formatCode>General</c:formatCode>
                <c:ptCount val="4"/>
                <c:pt idx="0">
                  <c:v>19.3</c:v>
                </c:pt>
                <c:pt idx="1">
                  <c:v>14.9</c:v>
                </c:pt>
                <c:pt idx="2">
                  <c:v>12.2</c:v>
                </c:pt>
                <c:pt idx="3">
                  <c:v>9.6</c:v>
                </c:pt>
              </c:numCache>
            </c:numRef>
          </c:val>
          <c:extLst>
            <c:ext xmlns:c16="http://schemas.microsoft.com/office/drawing/2014/chart" uri="{C3380CC4-5D6E-409C-BE32-E72D297353CC}">
              <c16:uniqueId val="{00000000-81AA-4D63-BAB0-1D1FA544F93D}"/>
            </c:ext>
          </c:extLst>
        </c:ser>
        <c:dLbls>
          <c:showLegendKey val="0"/>
          <c:showVal val="0"/>
          <c:showCatName val="0"/>
          <c:showSerName val="0"/>
          <c:showPercent val="0"/>
          <c:showBubbleSize val="0"/>
        </c:dLbls>
        <c:gapWidth val="219"/>
        <c:overlap val="-27"/>
        <c:axId val="472572863"/>
        <c:axId val="472571903"/>
      </c:barChart>
      <c:catAx>
        <c:axId val="47257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72571903"/>
        <c:crosses val="autoZero"/>
        <c:auto val="1"/>
        <c:lblAlgn val="ctr"/>
        <c:lblOffset val="100"/>
        <c:noMultiLvlLbl val="0"/>
      </c:catAx>
      <c:valAx>
        <c:axId val="472571903"/>
        <c:scaling>
          <c:orientation val="minMax"/>
        </c:scaling>
        <c:delete val="0"/>
        <c:axPos val="l"/>
        <c:majorGridlines>
          <c:spPr>
            <a:ln w="9525" cap="flat" cmpd="sng" algn="ctr">
              <a:solidFill>
                <a:schemeClr val="tx1">
                  <a:lumMod val="15000"/>
                  <a:lumOff val="85000"/>
                </a:schemeClr>
              </a:solidFill>
              <a:round/>
            </a:ln>
            <a:effectLst/>
          </c:spPr>
        </c:majorGridlines>
        <c:numFmt formatCode="0&quot;%&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72572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9</xdr:row>
      <xdr:rowOff>0</xdr:rowOff>
    </xdr:from>
    <xdr:to>
      <xdr:col>7</xdr:col>
      <xdr:colOff>198120</xdr:colOff>
      <xdr:row>16</xdr:row>
      <xdr:rowOff>91440</xdr:rowOff>
    </xdr:to>
    <mc:AlternateContent xmlns:mc="http://schemas.openxmlformats.org/markup-compatibility/2006" xmlns:a14="http://schemas.microsoft.com/office/drawing/2010/main">
      <mc:Choice Requires="a14">
        <xdr:graphicFrame macro="">
          <xdr:nvGraphicFramePr>
            <xdr:cNvPr id="2" name="1. Executive Sales_Month">
              <a:extLst>
                <a:ext uri="{FF2B5EF4-FFF2-40B4-BE49-F238E27FC236}">
                  <a16:creationId xmlns:a16="http://schemas.microsoft.com/office/drawing/2014/main" id="{4B67C728-1D86-95F5-0204-09D7F5B4E79F}"/>
                </a:ext>
              </a:extLst>
            </xdr:cNvPr>
            <xdr:cNvGraphicFramePr/>
          </xdr:nvGraphicFramePr>
          <xdr:xfrm>
            <a:off x="0" y="0"/>
            <a:ext cx="0" cy="0"/>
          </xdr:xfrm>
          <a:graphic>
            <a:graphicData uri="http://schemas.microsoft.com/office/drawing/2010/slicer">
              <sle:slicer xmlns:sle="http://schemas.microsoft.com/office/drawing/2010/slicer" name="1. Executive Sales_Month"/>
            </a:graphicData>
          </a:graphic>
        </xdr:graphicFrame>
      </mc:Choice>
      <mc:Fallback xmlns="">
        <xdr:sp macro="" textlink="">
          <xdr:nvSpPr>
            <xdr:cNvPr id="0" name=""/>
            <xdr:cNvSpPr>
              <a:spLocks noTextEdit="1"/>
            </xdr:cNvSpPr>
          </xdr:nvSpPr>
          <xdr:spPr>
            <a:xfrm>
              <a:off x="152400" y="1790700"/>
              <a:ext cx="15240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78740</xdr:colOff>
      <xdr:row>9</xdr:row>
      <xdr:rowOff>0</xdr:rowOff>
    </xdr:from>
    <xdr:to>
      <xdr:col>15</xdr:col>
      <xdr:colOff>55880</xdr:colOff>
      <xdr:row>16</xdr:row>
      <xdr:rowOff>91440</xdr:rowOff>
    </xdr:to>
    <mc:AlternateContent xmlns:mc="http://schemas.openxmlformats.org/markup-compatibility/2006" xmlns:a14="http://schemas.microsoft.com/office/drawing/2010/main">
      <mc:Choice Requires="a14">
        <xdr:graphicFrame macro="">
          <xdr:nvGraphicFramePr>
            <xdr:cNvPr id="3" name="1. Executive Sales_CustRegion">
              <a:extLst>
                <a:ext uri="{FF2B5EF4-FFF2-40B4-BE49-F238E27FC236}">
                  <a16:creationId xmlns:a16="http://schemas.microsoft.com/office/drawing/2014/main" id="{303B130D-3F33-FA58-8F74-C2CB82E083E1}"/>
                </a:ext>
              </a:extLst>
            </xdr:cNvPr>
            <xdr:cNvGraphicFramePr/>
          </xdr:nvGraphicFramePr>
          <xdr:xfrm>
            <a:off x="0" y="0"/>
            <a:ext cx="0" cy="0"/>
          </xdr:xfrm>
          <a:graphic>
            <a:graphicData uri="http://schemas.microsoft.com/office/drawing/2010/slicer">
              <sle:slicer xmlns:sle="http://schemas.microsoft.com/office/drawing/2010/slicer" name="1. Executive Sales_CustRegion"/>
            </a:graphicData>
          </a:graphic>
        </xdr:graphicFrame>
      </mc:Choice>
      <mc:Fallback xmlns="">
        <xdr:sp macro="" textlink="">
          <xdr:nvSpPr>
            <xdr:cNvPr id="0" name=""/>
            <xdr:cNvSpPr>
              <a:spLocks noTextEdit="1"/>
            </xdr:cNvSpPr>
          </xdr:nvSpPr>
          <xdr:spPr>
            <a:xfrm>
              <a:off x="1778000" y="1790700"/>
              <a:ext cx="15240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15</xdr:col>
      <xdr:colOff>157480</xdr:colOff>
      <xdr:row>9</xdr:row>
      <xdr:rowOff>0</xdr:rowOff>
    </xdr:from>
    <xdr:to>
      <xdr:col>22</xdr:col>
      <xdr:colOff>134620</xdr:colOff>
      <xdr:row>16</xdr:row>
      <xdr:rowOff>91440</xdr:rowOff>
    </xdr:to>
    <mc:AlternateContent xmlns:mc="http://schemas.openxmlformats.org/markup-compatibility/2006" xmlns:a14="http://schemas.microsoft.com/office/drawing/2010/main">
      <mc:Choice Requires="a14">
        <xdr:graphicFrame macro="">
          <xdr:nvGraphicFramePr>
            <xdr:cNvPr id="4" name="1. Executive Sales_Channel">
              <a:extLst>
                <a:ext uri="{FF2B5EF4-FFF2-40B4-BE49-F238E27FC236}">
                  <a16:creationId xmlns:a16="http://schemas.microsoft.com/office/drawing/2014/main" id="{93049D24-D263-787A-7333-4033897661D3}"/>
                </a:ext>
              </a:extLst>
            </xdr:cNvPr>
            <xdr:cNvGraphicFramePr/>
          </xdr:nvGraphicFramePr>
          <xdr:xfrm>
            <a:off x="0" y="0"/>
            <a:ext cx="0" cy="0"/>
          </xdr:xfrm>
          <a:graphic>
            <a:graphicData uri="http://schemas.microsoft.com/office/drawing/2010/slicer">
              <sle:slicer xmlns:sle="http://schemas.microsoft.com/office/drawing/2010/slicer" name="1. Executive Sales_Channel"/>
            </a:graphicData>
          </a:graphic>
        </xdr:graphicFrame>
      </mc:Choice>
      <mc:Fallback xmlns="">
        <xdr:sp macro="" textlink="">
          <xdr:nvSpPr>
            <xdr:cNvPr id="0" name=""/>
            <xdr:cNvSpPr>
              <a:spLocks noTextEdit="1"/>
            </xdr:cNvSpPr>
          </xdr:nvSpPr>
          <xdr:spPr>
            <a:xfrm>
              <a:off x="3403600" y="1790700"/>
              <a:ext cx="15240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0</xdr:colOff>
      <xdr:row>19</xdr:row>
      <xdr:rowOff>0</xdr:rowOff>
    </xdr:from>
    <xdr:to>
      <xdr:col>20</xdr:col>
      <xdr:colOff>0</xdr:colOff>
      <xdr:row>33</xdr:row>
      <xdr:rowOff>0</xdr:rowOff>
    </xdr:to>
    <xdr:graphicFrame macro="">
      <xdr:nvGraphicFramePr>
        <xdr:cNvPr id="5" name="Chart 4">
          <a:extLst>
            <a:ext uri="{FF2B5EF4-FFF2-40B4-BE49-F238E27FC236}">
              <a16:creationId xmlns:a16="http://schemas.microsoft.com/office/drawing/2014/main" id="{C404BE76-FA27-EA3F-000F-52C93CFECD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0</xdr:colOff>
      <xdr:row>33</xdr:row>
      <xdr:rowOff>0</xdr:rowOff>
    </xdr:from>
    <xdr:to>
      <xdr:col>20</xdr:col>
      <xdr:colOff>0</xdr:colOff>
      <xdr:row>47</xdr:row>
      <xdr:rowOff>0</xdr:rowOff>
    </xdr:to>
    <xdr:graphicFrame macro="">
      <xdr:nvGraphicFramePr>
        <xdr:cNvPr id="6" name="Chart 5">
          <a:extLst>
            <a:ext uri="{FF2B5EF4-FFF2-40B4-BE49-F238E27FC236}">
              <a16:creationId xmlns:a16="http://schemas.microsoft.com/office/drawing/2014/main" id="{5B523CD6-A4F0-92C1-3B71-244DF83367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21</xdr:col>
      <xdr:colOff>0</xdr:colOff>
      <xdr:row>19</xdr:row>
      <xdr:rowOff>0</xdr:rowOff>
    </xdr:from>
    <xdr:to>
      <xdr:col>44</xdr:col>
      <xdr:colOff>0</xdr:colOff>
      <xdr:row>32</xdr:row>
      <xdr:rowOff>0</xdr:rowOff>
    </xdr:to>
    <xdr:graphicFrame macro="">
      <xdr:nvGraphicFramePr>
        <xdr:cNvPr id="7" name="Chart 6">
          <a:extLst>
            <a:ext uri="{FF2B5EF4-FFF2-40B4-BE49-F238E27FC236}">
              <a16:creationId xmlns:a16="http://schemas.microsoft.com/office/drawing/2014/main" id="{697098B9-2028-8AEB-F044-C5800D19A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21</xdr:col>
      <xdr:colOff>0</xdr:colOff>
      <xdr:row>32</xdr:row>
      <xdr:rowOff>0</xdr:rowOff>
    </xdr:from>
    <xdr:to>
      <xdr:col>44</xdr:col>
      <xdr:colOff>0</xdr:colOff>
      <xdr:row>47</xdr:row>
      <xdr:rowOff>0</xdr:rowOff>
    </xdr:to>
    <xdr:graphicFrame macro="">
      <xdr:nvGraphicFramePr>
        <xdr:cNvPr id="8" name="Chart 7">
          <a:extLst>
            <a:ext uri="{FF2B5EF4-FFF2-40B4-BE49-F238E27FC236}">
              <a16:creationId xmlns:a16="http://schemas.microsoft.com/office/drawing/2014/main" id="{CBBEACCA-A335-442F-34B9-C38B4270A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0</xdr:colOff>
      <xdr:row>50</xdr:row>
      <xdr:rowOff>0</xdr:rowOff>
    </xdr:from>
    <xdr:to>
      <xdr:col>13</xdr:col>
      <xdr:colOff>0</xdr:colOff>
      <xdr:row>63</xdr:row>
      <xdr:rowOff>0</xdr:rowOff>
    </xdr:to>
    <xdr:graphicFrame macro="">
      <xdr:nvGraphicFramePr>
        <xdr:cNvPr id="9" name="Chart 8">
          <a:extLst>
            <a:ext uri="{FF2B5EF4-FFF2-40B4-BE49-F238E27FC236}">
              <a16:creationId xmlns:a16="http://schemas.microsoft.com/office/drawing/2014/main" id="{44F1A9D1-CD29-7BBE-5EAE-AB004C5E1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13</xdr:col>
      <xdr:colOff>0</xdr:colOff>
      <xdr:row>50</xdr:row>
      <xdr:rowOff>0</xdr:rowOff>
    </xdr:from>
    <xdr:to>
      <xdr:col>25</xdr:col>
      <xdr:colOff>0</xdr:colOff>
      <xdr:row>63</xdr:row>
      <xdr:rowOff>0</xdr:rowOff>
    </xdr:to>
    <xdr:graphicFrame macro="">
      <xdr:nvGraphicFramePr>
        <xdr:cNvPr id="10" name="Chart 9">
          <a:extLst>
            <a:ext uri="{FF2B5EF4-FFF2-40B4-BE49-F238E27FC236}">
              <a16:creationId xmlns:a16="http://schemas.microsoft.com/office/drawing/2014/main" id="{9B7898AD-9527-4BF2-9883-21C4B22F9A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25</xdr:col>
      <xdr:colOff>0</xdr:colOff>
      <xdr:row>50</xdr:row>
      <xdr:rowOff>0</xdr:rowOff>
    </xdr:from>
    <xdr:to>
      <xdr:col>44</xdr:col>
      <xdr:colOff>0</xdr:colOff>
      <xdr:row>63</xdr:row>
      <xdr:rowOff>0</xdr:rowOff>
    </xdr:to>
    <xdr:graphicFrame macro="">
      <xdr:nvGraphicFramePr>
        <xdr:cNvPr id="11" name="Chart 10">
          <a:extLst>
            <a:ext uri="{FF2B5EF4-FFF2-40B4-BE49-F238E27FC236}">
              <a16:creationId xmlns:a16="http://schemas.microsoft.com/office/drawing/2014/main" id="{5C6D94F7-5C22-1BC1-3339-3D5909B975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xdr:col>
      <xdr:colOff>0</xdr:colOff>
      <xdr:row>64</xdr:row>
      <xdr:rowOff>0</xdr:rowOff>
    </xdr:from>
    <xdr:to>
      <xdr:col>44</xdr:col>
      <xdr:colOff>0</xdr:colOff>
      <xdr:row>76</xdr:row>
      <xdr:rowOff>0</xdr:rowOff>
    </xdr:to>
    <xdr:sp macro="" textlink="">
      <xdr:nvSpPr>
        <xdr:cNvPr id="12" name="TextBox 11">
          <a:extLst>
            <a:ext uri="{FF2B5EF4-FFF2-40B4-BE49-F238E27FC236}">
              <a16:creationId xmlns:a16="http://schemas.microsoft.com/office/drawing/2014/main" id="{E0930F04-274E-DD21-2A1B-2B1848848C61}"/>
            </a:ext>
          </a:extLst>
        </xdr:cNvPr>
        <xdr:cNvSpPr txBox="1"/>
      </xdr:nvSpPr>
      <xdr:spPr>
        <a:xfrm>
          <a:off x="152400" y="11849100"/>
          <a:ext cx="9502140" cy="2194560"/>
        </a:xfrm>
        <a:prstGeom prst="rect">
          <a:avLst/>
        </a:prstGeom>
        <a:solidFill>
          <a:srgbClr val="FFFBEB"/>
        </a:solidFill>
        <a:ln w="12700" cmpd="sng">
          <a:solidFill>
            <a:srgbClr val="D97706"/>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63500" tIns="38100" rtlCol="0" anchor="t"/>
        <a:lstStyle/>
        <a:p>
          <a:r>
            <a:rPr lang="vi-VN" sz="780">
              <a:solidFill>
                <a:srgbClr val="334155"/>
              </a:solidFill>
            </a:rPr>
            <a:t>CHÚ THÍCH BẮT BUỘC:
• Region = vùng KHÁCH HÀNG (Dashboard 2 dùng vùng KHO — khác nhau).
• Achievement Index = tỷ lệ đạt kế hoạch chuẩn hóa, 100 = mặt bằng chung (6,07%). Chỉ đọc ở cấp vùng / nhóm hàng / tháng. KHÔNG đọc ở từng ô (~3,7 đơn/ô).
• Kênh Nội bộ (24,5% doanh thu) ĐƯỢC tính vào Revenue Net.
• Plan và fact không cùng phạm vi (fact là mẫu ~6%).
• Đã loại 1 dòng trùng, 1 dòng QtyOrder = 900. VT999 không có COGS ⇒ loại khỏi GM.</a:t>
          </a:r>
          <a:endParaRPr lang="en-US" sz="780">
            <a:solidFill>
              <a:srgbClr val="334155"/>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9</xdr:row>
      <xdr:rowOff>0</xdr:rowOff>
    </xdr:from>
    <xdr:to>
      <xdr:col>2</xdr:col>
      <xdr:colOff>492760</xdr:colOff>
      <xdr:row>16</xdr:row>
      <xdr:rowOff>142240</xdr:rowOff>
    </xdr:to>
    <mc:AlternateContent xmlns:mc="http://schemas.openxmlformats.org/markup-compatibility/2006" xmlns:a14="http://schemas.microsoft.com/office/drawing/2010/main">
      <mc:Choice Requires="a14">
        <xdr:graphicFrame macro="">
          <xdr:nvGraphicFramePr>
            <xdr:cNvPr id="2" name="2. Inventory_WarehouseName">
              <a:extLst>
                <a:ext uri="{FF2B5EF4-FFF2-40B4-BE49-F238E27FC236}">
                  <a16:creationId xmlns:a16="http://schemas.microsoft.com/office/drawing/2014/main" id="{10A4F934-8576-2DA4-FD2A-7EF1E66E03FC}"/>
                </a:ext>
              </a:extLst>
            </xdr:cNvPr>
            <xdr:cNvGraphicFramePr/>
          </xdr:nvGraphicFramePr>
          <xdr:xfrm>
            <a:off x="0" y="0"/>
            <a:ext cx="0" cy="0"/>
          </xdr:xfrm>
          <a:graphic>
            <a:graphicData uri="http://schemas.microsoft.com/office/drawing/2010/slicer">
              <sle:slicer xmlns:sle="http://schemas.microsoft.com/office/drawing/2010/slicer" name="2. Inventory_WarehouseName"/>
            </a:graphicData>
          </a:graphic>
        </xdr:graphicFrame>
      </mc:Choice>
      <mc:Fallback xmlns="">
        <xdr:sp macro="" textlink="">
          <xdr:nvSpPr>
            <xdr:cNvPr id="0" name=""/>
            <xdr:cNvSpPr>
              <a:spLocks noTextEdit="1"/>
            </xdr:cNvSpPr>
          </xdr:nvSpPr>
          <xdr:spPr>
            <a:xfrm>
              <a:off x="152400" y="1790700"/>
              <a:ext cx="1498600" cy="1422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568960</xdr:colOff>
      <xdr:row>9</xdr:row>
      <xdr:rowOff>0</xdr:rowOff>
    </xdr:from>
    <xdr:to>
      <xdr:col>4</xdr:col>
      <xdr:colOff>238760</xdr:colOff>
      <xdr:row>16</xdr:row>
      <xdr:rowOff>142240</xdr:rowOff>
    </xdr:to>
    <mc:AlternateContent xmlns:mc="http://schemas.openxmlformats.org/markup-compatibility/2006" xmlns:a14="http://schemas.microsoft.com/office/drawing/2010/main">
      <mc:Choice Requires="a14">
        <xdr:graphicFrame macro="">
          <xdr:nvGraphicFramePr>
            <xdr:cNvPr id="3" name="2. Inventory_CategoryName">
              <a:extLst>
                <a:ext uri="{FF2B5EF4-FFF2-40B4-BE49-F238E27FC236}">
                  <a16:creationId xmlns:a16="http://schemas.microsoft.com/office/drawing/2014/main" id="{F2446A18-48FC-F8B0-5C91-A50EAAB70BE0}"/>
                </a:ext>
              </a:extLst>
            </xdr:cNvPr>
            <xdr:cNvGraphicFramePr/>
          </xdr:nvGraphicFramePr>
          <xdr:xfrm>
            <a:off x="0" y="0"/>
            <a:ext cx="0" cy="0"/>
          </xdr:xfrm>
          <a:graphic>
            <a:graphicData uri="http://schemas.microsoft.com/office/drawing/2010/slicer">
              <sle:slicer xmlns:sle="http://schemas.microsoft.com/office/drawing/2010/slicer" name="2. Inventory_CategoryName"/>
            </a:graphicData>
          </a:graphic>
        </xdr:graphicFrame>
      </mc:Choice>
      <mc:Fallback xmlns="">
        <xdr:sp macro="" textlink="">
          <xdr:nvSpPr>
            <xdr:cNvPr id="0" name=""/>
            <xdr:cNvSpPr>
              <a:spLocks noTextEdit="1"/>
            </xdr:cNvSpPr>
          </xdr:nvSpPr>
          <xdr:spPr>
            <a:xfrm>
              <a:off x="1727200" y="1790700"/>
              <a:ext cx="1651000" cy="1422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314960</xdr:colOff>
      <xdr:row>9</xdr:row>
      <xdr:rowOff>0</xdr:rowOff>
    </xdr:from>
    <xdr:to>
      <xdr:col>6</xdr:col>
      <xdr:colOff>640080</xdr:colOff>
      <xdr:row>16</xdr:row>
      <xdr:rowOff>142240</xdr:rowOff>
    </xdr:to>
    <mc:AlternateContent xmlns:mc="http://schemas.openxmlformats.org/markup-compatibility/2006" xmlns:a14="http://schemas.microsoft.com/office/drawing/2010/main">
      <mc:Choice Requires="a14">
        <xdr:graphicFrame macro="">
          <xdr:nvGraphicFramePr>
            <xdr:cNvPr id="4" name="2. Inventory_ABC_Class">
              <a:extLst>
                <a:ext uri="{FF2B5EF4-FFF2-40B4-BE49-F238E27FC236}">
                  <a16:creationId xmlns:a16="http://schemas.microsoft.com/office/drawing/2014/main" id="{10ADD0AD-5B22-2E73-371E-D5F526B99F82}"/>
                </a:ext>
              </a:extLst>
            </xdr:cNvPr>
            <xdr:cNvGraphicFramePr/>
          </xdr:nvGraphicFramePr>
          <xdr:xfrm>
            <a:off x="0" y="0"/>
            <a:ext cx="0" cy="0"/>
          </xdr:xfrm>
          <a:graphic>
            <a:graphicData uri="http://schemas.microsoft.com/office/drawing/2010/slicer">
              <sle:slicer xmlns:sle="http://schemas.microsoft.com/office/drawing/2010/slicer" name="2. Inventory_ABC_Class"/>
            </a:graphicData>
          </a:graphic>
        </xdr:graphicFrame>
      </mc:Choice>
      <mc:Fallback xmlns="">
        <xdr:sp macro="" textlink="">
          <xdr:nvSpPr>
            <xdr:cNvPr id="0" name=""/>
            <xdr:cNvSpPr>
              <a:spLocks noTextEdit="1"/>
            </xdr:cNvSpPr>
          </xdr:nvSpPr>
          <xdr:spPr>
            <a:xfrm>
              <a:off x="3454400" y="1790700"/>
              <a:ext cx="889000" cy="1422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685800</xdr:colOff>
      <xdr:row>9</xdr:row>
      <xdr:rowOff>0</xdr:rowOff>
    </xdr:from>
    <xdr:to>
      <xdr:col>12</xdr:col>
      <xdr:colOff>10160</xdr:colOff>
      <xdr:row>16</xdr:row>
      <xdr:rowOff>142240</xdr:rowOff>
    </xdr:to>
    <mc:AlternateContent xmlns:mc="http://schemas.openxmlformats.org/markup-compatibility/2006">
      <mc:Choice xmlns:a14="http://schemas.microsoft.com/office/drawing/2010/main" Requires="a14">
        <xdr:graphicFrame macro="">
          <xdr:nvGraphicFramePr>
            <xdr:cNvPr id="5" name="2. Inventory_ItemStatus">
              <a:extLst>
                <a:ext uri="{FF2B5EF4-FFF2-40B4-BE49-F238E27FC236}">
                  <a16:creationId xmlns:a16="http://schemas.microsoft.com/office/drawing/2014/main" id="{2B5E6D63-FAA5-217C-2FD7-6E24ADD0E4B9}"/>
                </a:ext>
              </a:extLst>
            </xdr:cNvPr>
            <xdr:cNvGraphicFramePr/>
          </xdr:nvGraphicFramePr>
          <xdr:xfrm>
            <a:off x="0" y="0"/>
            <a:ext cx="0" cy="0"/>
          </xdr:xfrm>
          <a:graphic>
            <a:graphicData uri="http://schemas.microsoft.com/office/drawing/2010/slicer">
              <sle:slicer xmlns:sle="http://schemas.microsoft.com/office/drawing/2010/slicer" name="2. Inventory_ItemStatus"/>
            </a:graphicData>
          </a:graphic>
        </xdr:graphicFrame>
      </mc:Choice>
      <mc:Fallback>
        <xdr:sp macro="" textlink="">
          <xdr:nvSpPr>
            <xdr:cNvPr id="0" name=""/>
            <xdr:cNvSpPr>
              <a:spLocks noTextEdit="1"/>
            </xdr:cNvSpPr>
          </xdr:nvSpPr>
          <xdr:spPr>
            <a:xfrm>
              <a:off x="5143500" y="1790700"/>
              <a:ext cx="1168400" cy="1422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0</xdr:colOff>
      <xdr:row>19</xdr:row>
      <xdr:rowOff>0</xdr:rowOff>
    </xdr:from>
    <xdr:to>
      <xdr:col>5</xdr:col>
      <xdr:colOff>502920</xdr:colOff>
      <xdr:row>40</xdr:row>
      <xdr:rowOff>0</xdr:rowOff>
    </xdr:to>
    <xdr:graphicFrame macro="">
      <xdr:nvGraphicFramePr>
        <xdr:cNvPr id="6" name="Chart 5">
          <a:extLst>
            <a:ext uri="{FF2B5EF4-FFF2-40B4-BE49-F238E27FC236}">
              <a16:creationId xmlns:a16="http://schemas.microsoft.com/office/drawing/2014/main" id="{47228155-F49D-218E-D2B5-18169E432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114300</xdr:colOff>
      <xdr:row>19</xdr:row>
      <xdr:rowOff>0</xdr:rowOff>
    </xdr:from>
    <xdr:to>
      <xdr:col>22</xdr:col>
      <xdr:colOff>762000</xdr:colOff>
      <xdr:row>29</xdr:row>
      <xdr:rowOff>0</xdr:rowOff>
    </xdr:to>
    <xdr:graphicFrame macro="">
      <xdr:nvGraphicFramePr>
        <xdr:cNvPr id="7" name="Chart 6">
          <a:extLst>
            <a:ext uri="{FF2B5EF4-FFF2-40B4-BE49-F238E27FC236}">
              <a16:creationId xmlns:a16="http://schemas.microsoft.com/office/drawing/2014/main" id="{2232BBEE-AF55-6EA5-FD52-56D45442DF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6</xdr:col>
      <xdr:colOff>114300</xdr:colOff>
      <xdr:row>29</xdr:row>
      <xdr:rowOff>0</xdr:rowOff>
    </xdr:from>
    <xdr:to>
      <xdr:col>22</xdr:col>
      <xdr:colOff>762000</xdr:colOff>
      <xdr:row>40</xdr:row>
      <xdr:rowOff>0</xdr:rowOff>
    </xdr:to>
    <xdr:graphicFrame macro="">
      <xdr:nvGraphicFramePr>
        <xdr:cNvPr id="8" name="Chart 7">
          <a:extLst>
            <a:ext uri="{FF2B5EF4-FFF2-40B4-BE49-F238E27FC236}">
              <a16:creationId xmlns:a16="http://schemas.microsoft.com/office/drawing/2014/main" id="{9290AC41-F803-3F90-2051-593284267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0</xdr:colOff>
      <xdr:row>63</xdr:row>
      <xdr:rowOff>0</xdr:rowOff>
    </xdr:from>
    <xdr:to>
      <xdr:col>44</xdr:col>
      <xdr:colOff>205741</xdr:colOff>
      <xdr:row>75</xdr:row>
      <xdr:rowOff>0</xdr:rowOff>
    </xdr:to>
    <xdr:sp macro="" textlink="">
      <xdr:nvSpPr>
        <xdr:cNvPr id="9" name="TextBox 8">
          <a:extLst>
            <a:ext uri="{FF2B5EF4-FFF2-40B4-BE49-F238E27FC236}">
              <a16:creationId xmlns:a16="http://schemas.microsoft.com/office/drawing/2014/main" id="{12A7F17A-C82A-86BF-9E77-49A9E9B781DF}"/>
            </a:ext>
          </a:extLst>
        </xdr:cNvPr>
        <xdr:cNvSpPr txBox="1"/>
      </xdr:nvSpPr>
      <xdr:spPr>
        <a:xfrm>
          <a:off x="152400" y="11666220"/>
          <a:ext cx="16977361" cy="2194560"/>
        </a:xfrm>
        <a:prstGeom prst="rect">
          <a:avLst/>
        </a:prstGeom>
        <a:solidFill>
          <a:srgbClr val="FFFBEB"/>
        </a:solidFill>
        <a:ln w="12700" cmpd="sng">
          <a:solidFill>
            <a:srgbClr val="D97706"/>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63500" tIns="38100" rtlCol="0" anchor="t"/>
        <a:lstStyle/>
        <a:p>
          <a:r>
            <a:rPr lang="vi-VN" sz="780">
              <a:solidFill>
                <a:srgbClr val="334155"/>
              </a:solidFill>
            </a:rPr>
            <a:t>CHÚ THÍCH BẮT BUỘC:
• Region ở trang này = vùng KHO (Dashboard 1 dùng vùng KHÁCH HÀNG).
• Đã loại dòng orphan VT999 (WH_HN, 50 đv, 5.000.000 VNĐ).
• Slow &amp; Heavy = Giá trị tồn &gt; trung vị (127.610.000) VÀ MOC &gt; 12 tháng. Xếp hạng chỉ theo MOC sẽ cho cảnh báo sai (VT033: MOC 65,7 nhưng chỉ 72,8 tr vốn).
• Tồn âm KHÔNG được set = 0 — là dấu hiệu lỗi quy trình, cần điều tra.</a:t>
          </a:r>
          <a:endParaRPr lang="en-US" sz="780">
            <a:solidFill>
              <a:srgbClr val="334155"/>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11</xdr:row>
      <xdr:rowOff>0</xdr:rowOff>
    </xdr:from>
    <xdr:to>
      <xdr:col>3</xdr:col>
      <xdr:colOff>1211580</xdr:colOff>
      <xdr:row>27</xdr:row>
      <xdr:rowOff>0</xdr:rowOff>
    </xdr:to>
    <xdr:graphicFrame macro="">
      <xdr:nvGraphicFramePr>
        <xdr:cNvPr id="2" name="Chart 1">
          <a:extLst>
            <a:ext uri="{FF2B5EF4-FFF2-40B4-BE49-F238E27FC236}">
              <a16:creationId xmlns:a16="http://schemas.microsoft.com/office/drawing/2014/main" id="{E6AB5D32-C646-2540-3D13-9F5B9D1A7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1432560</xdr:colOff>
      <xdr:row>11</xdr:row>
      <xdr:rowOff>0</xdr:rowOff>
    </xdr:from>
    <xdr:to>
      <xdr:col>6</xdr:col>
      <xdr:colOff>1280160</xdr:colOff>
      <xdr:row>27</xdr:row>
      <xdr:rowOff>0</xdr:rowOff>
    </xdr:to>
    <xdr:graphicFrame macro="">
      <xdr:nvGraphicFramePr>
        <xdr:cNvPr id="3" name="Chart 2">
          <a:extLst>
            <a:ext uri="{FF2B5EF4-FFF2-40B4-BE49-F238E27FC236}">
              <a16:creationId xmlns:a16="http://schemas.microsoft.com/office/drawing/2014/main" id="{4F3D0188-E5C4-0F6D-7D06-828B0BBE0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59</xdr:row>
      <xdr:rowOff>0</xdr:rowOff>
    </xdr:from>
    <xdr:to>
      <xdr:col>20</xdr:col>
      <xdr:colOff>0</xdr:colOff>
      <xdr:row>74</xdr:row>
      <xdr:rowOff>0</xdr:rowOff>
    </xdr:to>
    <xdr:graphicFrame macro="">
      <xdr:nvGraphicFramePr>
        <xdr:cNvPr id="4" name="Chart 3">
          <a:extLst>
            <a:ext uri="{FF2B5EF4-FFF2-40B4-BE49-F238E27FC236}">
              <a16:creationId xmlns:a16="http://schemas.microsoft.com/office/drawing/2014/main" id="{B96DA256-8F4F-969D-9A06-B880DEAA06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0</xdr:colOff>
      <xdr:row>75</xdr:row>
      <xdr:rowOff>0</xdr:rowOff>
    </xdr:from>
    <xdr:to>
      <xdr:col>43</xdr:col>
      <xdr:colOff>220979</xdr:colOff>
      <xdr:row>87</xdr:row>
      <xdr:rowOff>0</xdr:rowOff>
    </xdr:to>
    <xdr:sp macro="" textlink="">
      <xdr:nvSpPr>
        <xdr:cNvPr id="5" name="TextBox 4">
          <a:extLst>
            <a:ext uri="{FF2B5EF4-FFF2-40B4-BE49-F238E27FC236}">
              <a16:creationId xmlns:a16="http://schemas.microsoft.com/office/drawing/2014/main" id="{96B58644-A3BA-E2B4-48CB-A912906B3CF4}"/>
            </a:ext>
          </a:extLst>
        </xdr:cNvPr>
        <xdr:cNvSpPr txBox="1"/>
      </xdr:nvSpPr>
      <xdr:spPr>
        <a:xfrm>
          <a:off x="152400" y="13860780"/>
          <a:ext cx="22570439" cy="2194560"/>
        </a:xfrm>
        <a:prstGeom prst="rect">
          <a:avLst/>
        </a:prstGeom>
        <a:solidFill>
          <a:srgbClr val="FFFBEB"/>
        </a:solidFill>
        <a:ln w="12700" cmpd="sng">
          <a:solidFill>
            <a:srgbClr val="D97706"/>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63500" tIns="38100" rtlCol="0" anchor="t"/>
        <a:lstStyle/>
        <a:p>
          <a:r>
            <a:rPr lang="vi-VN" sz="780">
              <a:solidFill>
                <a:srgbClr val="334155"/>
              </a:solidFill>
            </a:rPr>
            <a:t>NGUYÊN TẮC &amp; GIỚI HẠN:
• Gắn cờ (flag), KHÔNG xóa (delete) — trừ dòng trùng hoàn toàn index 450. Xóa dòng fact làm sai tổng doanh thu và mất bằng chứng quy trách nhiệm.
• 48 dòng cùng OrderNo+LineNo khác nội dung KHÔNG phải lỗi — OrderNo chưa từng là khóa.
• Trang này KHÔNG trả lời được: vì sao VT018 tồn âm, ai nhập UnitPrice=0, vì sao QtyOrder=900 (thiếu CreatedBy/log hệ thống).</a:t>
          </a:r>
          <a:endParaRPr lang="en-US" sz="780">
            <a:solidFill>
              <a:srgbClr val="334155"/>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12.758489120373" createdVersion="3" refreshedVersion="8" minRefreshableVersion="3" recordCount="450" xr:uid="{9B8AFAB9-380C-4A4B-BBBA-DCA1315F09D1}">
  <cacheSource type="worksheet">
    <worksheetSource ref="A1:AU451" sheet="fact_sales"/>
  </cacheSource>
  <cacheFields count="50">
    <cacheField name="DocDate" numFmtId="164">
      <sharedItems containsSemiMixedTypes="0" containsNonDate="0" containsDate="1" containsString="0" minDate="2026-01-01T00:00:00" maxDate="2026-07-01T00:00:00"/>
    </cacheField>
    <cacheField name="OrderNo" numFmtId="0">
      <sharedItems/>
    </cacheField>
    <cacheField name="LineNo" numFmtId="0">
      <sharedItems containsSemiMixedTypes="0" containsString="0" containsNumber="1" containsInteger="1" minValue="1" maxValue="4"/>
    </cacheField>
    <cacheField name="CustomerCode" numFmtId="0">
      <sharedItems/>
    </cacheField>
    <cacheField name="ItemCode" numFmtId="0">
      <sharedItems/>
    </cacheField>
    <cacheField name="WarehouseCode" numFmtId="0">
      <sharedItems/>
    </cacheField>
    <cacheField name="QtyOrder" numFmtId="0">
      <sharedItems containsSemiMixedTypes="0" containsString="0" containsNumber="1" containsInteger="1" minValue="-10" maxValue="35"/>
    </cacheField>
    <cacheField name="QtyDelivered" numFmtId="0">
      <sharedItems containsSemiMixedTypes="0" containsString="0" containsNumber="1" containsInteger="1" minValue="-10" maxValue="35"/>
    </cacheField>
    <cacheField name="UnitPrice" numFmtId="0">
      <sharedItems containsSemiMixedTypes="0" containsString="0" containsNumber="1" containsInteger="1" minValue="0" maxValue="2430000"/>
    </cacheField>
    <cacheField name="DiscountPct" numFmtId="0">
      <sharedItems containsSemiMixedTypes="0" containsString="0" containsNumber="1" minValue="0" maxValue="0.65"/>
    </cacheField>
    <cacheField name="DocStatus" numFmtId="0">
      <sharedItems/>
    </cacheField>
    <cacheField name="DeliveryDueDate" numFmtId="164">
      <sharedItems containsSemiMixedTypes="0" containsNonDate="0" containsDate="1" containsString="0" minDate="2026-01-03T00:00:00" maxDate="2026-07-10T00:00:00"/>
    </cacheField>
    <cacheField name="ActualDeliveryDate" numFmtId="0">
      <sharedItems containsNonDate="0" containsDate="1" containsString="0" containsBlank="1" minDate="2026-01-03T00:00:00" maxDate="2026-07-15T00:00:00"/>
    </cacheField>
    <cacheField name="Salesperson" numFmtId="0">
      <sharedItems/>
    </cacheField>
    <cacheField name="Note" numFmtId="0">
      <sharedItems containsBlank="1"/>
    </cacheField>
    <cacheField name="src_row_index" numFmtId="0">
      <sharedItems containsSemiMixedTypes="0" containsString="0" containsNumber="1" containsInteger="1" minValue="0" maxValue="449"/>
    </cacheField>
    <cacheField name="CustomerName" numFmtId="0">
      <sharedItems containsBlank="1"/>
    </cacheField>
    <cacheField name="CustRegion" numFmtId="0">
      <sharedItems count="4">
        <s v="Miền Trung"/>
        <s v="Miền Bắc"/>
        <s v="Miền Nam"/>
        <s v="(Unknown)"/>
      </sharedItems>
    </cacheField>
    <cacheField name="Channel" numFmtId="0">
      <sharedItems containsBlank="1" count="5">
        <s v="Bán lẻ"/>
        <s v="Nội bộ"/>
        <s v="Dự án"/>
        <s v="Đại lý"/>
        <m/>
      </sharedItems>
    </cacheField>
    <cacheField name="CustomerStatus" numFmtId="0">
      <sharedItems containsBlank="1"/>
    </cacheField>
    <cacheField name="ItemName" numFmtId="0">
      <sharedItems containsBlank="1" count="37">
        <s v="Phụ tùng nhanh 10"/>
        <s v="Hóa chất 06"/>
        <s v="Phụ tùng thân vỏ 05"/>
        <s v="Phụ tùng thân vỏ 23"/>
        <s v="Ắc quy 02"/>
        <s v="Lốp 03"/>
        <s v="Hóa chất 18"/>
        <s v="Phụ tùng thân vỏ 17"/>
        <s v="Phụ tùng nhanh 28"/>
        <s v="Lốp 21"/>
        <s v="Dầu nhớt 25"/>
        <s v="Lốp 33"/>
        <s v="Dầu nhớt 13"/>
        <s v="Phụ tùng nhanh 16"/>
        <s v="Hóa chất 36"/>
        <s v="Phụ tùng thân vỏ 29"/>
        <s v="Lốp 27"/>
        <s v="Ắc quy 32"/>
        <s v="Phụ tùng thân vỏ 35"/>
        <s v="Hóa chất 12"/>
        <s v="Lốp 15"/>
        <s v="Hóa chất 30"/>
        <s v="Phụ tùng nhanh 34"/>
        <s v="Phụ tùng nhanh 04"/>
        <s v="Ắc quy 08"/>
        <s v="Dầu nhớt 07"/>
        <s v="Hóa chất 24"/>
        <s v="Dầu nhớt 19"/>
        <s v="Phụ tùng nhanh 22"/>
        <s v="Ắc quy 26"/>
        <s v="Dầu nhớt 31"/>
        <s v="Dầu nhớt 01"/>
        <m/>
        <s v="Phụ tùng thân vỏ 11"/>
        <s v="Ắc quy 14"/>
        <s v="Lốp 09"/>
        <s v="Ắc quy 20"/>
      </sharedItems>
    </cacheField>
    <cacheField name="CategoryCode" numFmtId="0">
      <sharedItems containsBlank="1"/>
    </cacheField>
    <cacheField name="CategoryName" numFmtId="0">
      <sharedItems count="7">
        <s v="Phụ tùng nhanh"/>
        <s v="Hóa chất"/>
        <s v="Phụ tùng thân vỏ"/>
        <s v="Ắc quy"/>
        <s v="Lốp"/>
        <s v="Dầu nhớt"/>
        <s v="(Unknown)"/>
      </sharedItems>
    </cacheField>
    <cacheField name="StandardCost" numFmtId="0">
      <sharedItems containsString="0" containsBlank="1" containsNumber="1" containsInteger="1" minValue="120000" maxValue="1800000"/>
    </cacheField>
    <cacheField name="ListPrice" numFmtId="0">
      <sharedItems containsString="0" containsBlank="1" containsNumber="1" containsInteger="1" minValue="146000" maxValue="2430000"/>
    </cacheField>
    <cacheField name="ItemStatus" numFmtId="0">
      <sharedItems containsBlank="1"/>
    </cacheField>
    <cacheField name="ABC_Class" numFmtId="0">
      <sharedItems containsBlank="1"/>
    </cacheField>
    <cacheField name="WarehouseName" numFmtId="0">
      <sharedItems/>
    </cacheField>
    <cacheField name="WhRegion" numFmtId="0">
      <sharedItems/>
    </cacheField>
    <cacheField name="Month" numFmtId="0">
      <sharedItems count="6">
        <s v="2026-03"/>
        <s v="2026-05"/>
        <s v="2026-01"/>
        <s v="2026-06"/>
        <s v="2026-04"/>
        <s v="2026-02"/>
      </sharedItems>
    </cacheField>
    <cacheField name="RevenueNet" numFmtId="0">
      <sharedItems containsSemiMixedTypes="0" containsString="0" containsNumber="1" minValue="-16652160" maxValue="80190000"/>
    </cacheField>
    <cacheField name="COGS" numFmtId="0">
      <sharedItems containsString="0" containsBlank="1" containsNumber="1" containsInteger="1" minValue="-14400000" maxValue="63000000"/>
    </cacheField>
    <cacheField name="GrossProfit" numFmtId="0">
      <sharedItems containsSemiMixedTypes="0" containsString="0" containsNumber="1" containsInteger="1" minValue="-3876000" maxValue="20790000"/>
    </cacheField>
    <cacheField name="HasCost" numFmtId="0">
      <sharedItems/>
    </cacheField>
    <cacheField name="Delivered" numFmtId="0">
      <sharedItems/>
    </cacheField>
    <cacheField name="OnTime" numFmtId="0">
      <sharedItems containsString="0" containsBlank="1" containsNumber="1" containsInteger="1" minValue="0" maxValue="1"/>
    </cacheField>
    <cacheField name="DaysLate" numFmtId="0">
      <sharedItems containsString="0" containsBlank="1" containsNumber="1" containsInteger="1" minValue="-1" maxValue="7"/>
    </cacheField>
    <cacheField name="FillScope" numFmtId="0">
      <sharedItems/>
    </cacheField>
    <cacheField name="IsReturn" numFmtId="0">
      <sharedItems/>
    </cacheField>
    <cacheField name="RevHasCost" numFmtId="0">
      <sharedItems containsSemiMixedTypes="0" containsString="0" containsNumber="1" minValue="-16652160" maxValue="80190000"/>
    </cacheField>
    <cacheField name="GPHasCost" numFmtId="0">
      <sharedItems containsSemiMixedTypes="0" containsString="0" containsNumber="1" containsInteger="1" minValue="-3876000" maxValue="20790000"/>
    </cacheField>
    <cacheField name="QtyDelivFill" numFmtId="0">
      <sharedItems containsSemiMixedTypes="0" containsString="0" containsNumber="1" containsInteger="1" minValue="0" maxValue="35"/>
    </cacheField>
    <cacheField name="QtyOrderFill" numFmtId="0">
      <sharedItems containsSemiMixedTypes="0" containsString="0" containsNumber="1" containsInteger="1" minValue="0" maxValue="35"/>
    </cacheField>
    <cacheField name="OnTimeNum" numFmtId="0">
      <sharedItems containsSemiMixedTypes="0" containsString="0" containsNumber="1" containsInteger="1" minValue="0" maxValue="1"/>
    </cacheField>
    <cacheField name="OnTimeDen" numFmtId="0">
      <sharedItems containsSemiMixedTypes="0" containsString="0" containsNumber="1" containsInteger="1" minValue="0" maxValue="1"/>
    </cacheField>
    <cacheField name="ReturnVal" numFmtId="0">
      <sharedItems containsSemiMixedTypes="0" containsString="0" containsNumber="1" containsInteger="1" minValue="-16652160" maxValue="0"/>
    </cacheField>
    <cacheField name="GPForRank" numFmtId="0">
      <sharedItems containsSemiMixedTypes="0" containsString="0" containsNumber="1" containsInteger="1" minValue="-3876000" maxValue="20790000"/>
    </cacheField>
    <cacheField name="cfGM" numFmtId="0" formula="GPHasCost/RevHasCost" databaseField="0"/>
    <cacheField name="cfFill" numFmtId="0" formula="QtyDelivFill/QtyOrderFill" databaseField="0"/>
    <cacheField name="cfOTD" numFmtId="0" formula="OnTimeNum/OnTimeDen" databaseField="0"/>
  </cacheFields>
  <extLst>
    <ext xmlns:x14="http://schemas.microsoft.com/office/spreadsheetml/2009/9/main" uri="{725AE2AE-9491-48be-B2B4-4EB974FC3084}">
      <x14:pivotCacheDefinition pivotCacheId="8910819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12.758508333332" createdVersion="3" refreshedVersion="8" minRefreshableVersion="3" recordCount="144" xr:uid="{78BF4C89-BC55-4CB4-9D70-1091DA8E0990}">
  <cacheSource type="worksheet">
    <worksheetSource ref="A1:T145" sheet="inv_row"/>
  </cacheSource>
  <cacheFields count="20">
    <cacheField name="ItemCode" numFmtId="0">
      <sharedItems/>
    </cacheField>
    <cacheField name="ItemName" numFmtId="0">
      <sharedItems/>
    </cacheField>
    <cacheField name="CategoryName" numFmtId="0">
      <sharedItems count="6">
        <s v="Dầu nhớt"/>
        <s v="Ắc quy"/>
        <s v="Lốp"/>
        <s v="Phụ tùng nhanh"/>
        <s v="Phụ tùng thân vỏ"/>
        <s v="Hóa chất"/>
      </sharedItems>
    </cacheField>
    <cacheField name="ABC_Class" numFmtId="0">
      <sharedItems count="3">
        <s v="B"/>
        <s v="C"/>
        <s v="A"/>
      </sharedItems>
    </cacheField>
    <cacheField name="ItemStatus" numFmtId="0">
      <sharedItems count="2">
        <s v="Active"/>
        <s v="Discontinued"/>
      </sharedItems>
    </cacheField>
    <cacheField name="WarehouseCode" numFmtId="0">
      <sharedItems/>
    </cacheField>
    <cacheField name="WarehouseName" numFmtId="0">
      <sharedItems count="4">
        <s v="Kho Hà Nội"/>
        <s v="Kho Đông Anh"/>
        <s v="Kho Đà Nẵng"/>
        <s v="Kho HCM"/>
      </sharedItems>
    </cacheField>
    <cacheField name="WhRegion" numFmtId="0">
      <sharedItems/>
    </cacheField>
    <cacheField name="OnHandQty" numFmtId="0">
      <sharedItems containsSemiMixedTypes="0" containsString="0" containsNumber="1" containsInteger="1" minValue="-7" maxValue="267"/>
    </cacheField>
    <cacheField name="InventoryValue" numFmtId="0">
      <sharedItems containsSemiMixedTypes="0" containsString="0" containsNumber="1" containsInteger="1" minValue="-3360000" maxValue="208800000"/>
    </cacheField>
    <cacheField name="SafetyStock" numFmtId="0">
      <sharedItems containsSemiMixedTypes="0" containsString="0" containsNumber="1" containsInteger="1" minValue="10" maxValue="50"/>
    </cacheField>
    <cacheField name="LastReceiptDate_conv" numFmtId="164">
      <sharedItems containsSemiMixedTypes="0" containsNonDate="0" containsDate="1" containsString="0" minDate="2025-11-02T00:00:00" maxDate="2026-06-26T00:00:00"/>
    </cacheField>
    <cacheField name="BelowSafety" numFmtId="0">
      <sharedItems/>
    </cacheField>
    <cacheField name="Negative" numFmtId="0">
      <sharedItems/>
    </cacheField>
    <cacheField name="SlowHeavy" numFmtId="0">
      <sharedItems/>
    </cacheField>
    <cacheField name="SlowHeavyValue" numFmtId="0">
      <sharedItems containsSemiMixedTypes="0" containsString="0" containsNumber="1" containsInteger="1" minValue="0" maxValue="205200000"/>
    </cacheField>
    <cacheField name="DiscStock" numFmtId="0">
      <sharedItems/>
    </cacheField>
    <cacheField name="DiscStockValue" numFmtId="0">
      <sharedItems containsSemiMixedTypes="0" containsString="0" containsNumber="1" containsInteger="1" minValue="0" maxValue="75950000"/>
    </cacheField>
    <cacheField name="BelowSafetyN" numFmtId="0">
      <sharedItems containsSemiMixedTypes="0" containsString="0" containsNumber="1" containsInteger="1" minValue="0" maxValue="1"/>
    </cacheField>
    <cacheField name="NegN"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326332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
  <r>
    <d v="2026-03-09T00:00:00"/>
    <s v="SO2603-0030"/>
    <n v="1"/>
    <s v="KH036"/>
    <s v="VT010"/>
    <s v="WH_DN"/>
    <n v="19"/>
    <n v="19"/>
    <n v="1170000"/>
    <n v="0"/>
    <s v="Completed"/>
    <d v="2026-03-19T00:00:00"/>
    <d v="2026-03-22T00:00:00"/>
    <s v="NV Chi"/>
    <m/>
    <n v="0"/>
    <s v="Khách hàng 036"/>
    <x v="0"/>
    <x v="0"/>
    <s v="Active"/>
    <x v="0"/>
    <s v="CAT04"/>
    <x v="0"/>
    <n v="900000"/>
    <n v="1170000"/>
    <s v="Active"/>
    <s v="A"/>
    <s v="Kho Đà Nẵng"/>
    <s v="Miền Trung"/>
    <x v="0"/>
    <n v="22230000"/>
    <n v="17100000"/>
    <n v="5130000"/>
    <b v="1"/>
    <b v="1"/>
    <n v="0"/>
    <n v="3"/>
    <b v="1"/>
    <b v="0"/>
    <n v="22230000"/>
    <n v="5130000"/>
    <n v="19"/>
    <n v="19"/>
    <n v="0"/>
    <n v="1"/>
    <n v="0"/>
    <n v="5130000"/>
  </r>
  <r>
    <d v="2026-05-10T00:00:00"/>
    <s v="SO2605-0126"/>
    <n v="3"/>
    <s v="KH004"/>
    <s v="VT006"/>
    <s v="WH_HCM"/>
    <n v="18"/>
    <n v="18"/>
    <n v="2430000"/>
    <n v="0.1"/>
    <s v="Completed"/>
    <d v="2026-05-13T00:00:00"/>
    <d v="2026-05-13T00:00:00"/>
    <s v="NV Dũng"/>
    <m/>
    <n v="1"/>
    <s v="Khách hàng 004"/>
    <x v="0"/>
    <x v="1"/>
    <s v="Active"/>
    <x v="1"/>
    <s v="CAT06"/>
    <x v="1"/>
    <n v="1800000"/>
    <n v="2430000"/>
    <s v="Active"/>
    <s v="C"/>
    <s v="Kho HCM"/>
    <s v="Miền Nam"/>
    <x v="1"/>
    <n v="39366000"/>
    <n v="32400000"/>
    <n v="6966000"/>
    <b v="1"/>
    <b v="1"/>
    <n v="1"/>
    <n v="0"/>
    <b v="1"/>
    <b v="0"/>
    <n v="39366000"/>
    <n v="6966000"/>
    <n v="18"/>
    <n v="18"/>
    <n v="1"/>
    <n v="1"/>
    <n v="0"/>
    <n v="6966000"/>
  </r>
  <r>
    <d v="2026-05-22T00:00:00"/>
    <s v="SO2605-0110"/>
    <n v="1"/>
    <s v="KH008"/>
    <s v="VT005"/>
    <s v="WH_DA"/>
    <n v="35"/>
    <n v="33"/>
    <n v="150000"/>
    <n v="0.08"/>
    <s v="Completed"/>
    <d v="2026-05-24T00:00:00"/>
    <d v="2026-05-25T00:00:00"/>
    <s v="NV Bình"/>
    <m/>
    <n v="2"/>
    <s v="Khách hàng 008"/>
    <x v="1"/>
    <x v="2"/>
    <s v="Active"/>
    <x v="2"/>
    <s v="CAT05"/>
    <x v="2"/>
    <n v="120000"/>
    <n v="150000"/>
    <s v="Active"/>
    <s v="A"/>
    <s v="Kho Đông Anh"/>
    <s v="Miền Bắc"/>
    <x v="1"/>
    <n v="4554000"/>
    <n v="3960000"/>
    <n v="594000"/>
    <b v="1"/>
    <b v="1"/>
    <n v="0"/>
    <n v="1"/>
    <b v="1"/>
    <b v="0"/>
    <n v="4554000"/>
    <n v="594000"/>
    <n v="33"/>
    <n v="35"/>
    <n v="0"/>
    <n v="1"/>
    <n v="0"/>
    <n v="594000"/>
  </r>
  <r>
    <d v="2026-01-11T00:00:00"/>
    <s v="SO2601-0079"/>
    <n v="3"/>
    <s v="KH003"/>
    <s v="VT023"/>
    <s v="WH_DA"/>
    <n v="16"/>
    <n v="14"/>
    <n v="2250000"/>
    <n v="0.05"/>
    <s v="Completed"/>
    <d v="2026-01-18T00:00:00"/>
    <d v="2026-01-21T00:00:00"/>
    <s v="NV Bình"/>
    <m/>
    <n v="3"/>
    <s v="Khách hàng 003"/>
    <x v="2"/>
    <x v="2"/>
    <s v="Active"/>
    <x v="3"/>
    <s v="CAT05"/>
    <x v="2"/>
    <n v="1800000"/>
    <n v="2250000"/>
    <s v="Active"/>
    <s v="A"/>
    <s v="Kho Đông Anh"/>
    <s v="Miền Bắc"/>
    <x v="2"/>
    <n v="29925000"/>
    <n v="25200000"/>
    <n v="4725000"/>
    <b v="1"/>
    <b v="1"/>
    <n v="0"/>
    <n v="3"/>
    <b v="1"/>
    <b v="0"/>
    <n v="29925000"/>
    <n v="4725000"/>
    <n v="14"/>
    <n v="16"/>
    <n v="0"/>
    <n v="1"/>
    <n v="0"/>
    <n v="4725000"/>
  </r>
  <r>
    <d v="2026-03-02T00:00:00"/>
    <s v="SO2603-0042"/>
    <n v="2"/>
    <s v="KH027"/>
    <s v="VT002"/>
    <s v="WH_DA"/>
    <n v="22"/>
    <n v="13"/>
    <n v="427000"/>
    <n v="0.1"/>
    <s v="Open"/>
    <d v="2026-03-12T00:00:00"/>
    <m/>
    <s v="NV Bình"/>
    <m/>
    <n v="4"/>
    <s v="Khách hàng 027"/>
    <x v="2"/>
    <x v="0"/>
    <s v="Active"/>
    <x v="4"/>
    <s v="CAT02"/>
    <x v="3"/>
    <n v="350000"/>
    <n v="427000"/>
    <s v="Active"/>
    <s v="C"/>
    <s v="Kho Đông Anh"/>
    <s v="Miền Bắc"/>
    <x v="0"/>
    <n v="4995900"/>
    <n v="4550000"/>
    <n v="445900"/>
    <b v="1"/>
    <b v="0"/>
    <m/>
    <m/>
    <b v="1"/>
    <b v="0"/>
    <n v="4995900"/>
    <n v="445900"/>
    <n v="13"/>
    <n v="22"/>
    <n v="0"/>
    <n v="0"/>
    <n v="0"/>
    <n v="445900"/>
  </r>
  <r>
    <d v="2026-03-10T00:00:00"/>
    <s v="SO2603-0041"/>
    <n v="1"/>
    <s v="KH025"/>
    <s v="VT003"/>
    <s v="WH_HCM"/>
    <n v="15"/>
    <n v="15"/>
    <n v="212000"/>
    <n v="0.02"/>
    <s v="Completed"/>
    <d v="2026-03-12T00:00:00"/>
    <d v="2026-03-12T00:00:00"/>
    <s v="NV An"/>
    <m/>
    <n v="5"/>
    <s v="Khách hàng 025"/>
    <x v="1"/>
    <x v="0"/>
    <s v="Active"/>
    <x v="5"/>
    <s v="CAT03"/>
    <x v="4"/>
    <n v="180000"/>
    <n v="212000"/>
    <s v="Active"/>
    <s v="C"/>
    <s v="Kho HCM"/>
    <s v="Miền Nam"/>
    <x v="0"/>
    <n v="3116400"/>
    <n v="2700000"/>
    <n v="416400"/>
    <b v="1"/>
    <b v="1"/>
    <n v="1"/>
    <n v="0"/>
    <b v="1"/>
    <b v="0"/>
    <n v="3116400"/>
    <n v="416400"/>
    <n v="15"/>
    <n v="15"/>
    <n v="1"/>
    <n v="1"/>
    <n v="0"/>
    <n v="416400"/>
  </r>
  <r>
    <d v="2026-06-18T00:00:00"/>
    <s v="SO2606-0050"/>
    <n v="4"/>
    <s v="KH022"/>
    <s v="VT018"/>
    <s v="WH_HN"/>
    <n v="18"/>
    <n v="18"/>
    <n v="648000"/>
    <n v="0.1"/>
    <s v="Completed"/>
    <d v="2026-06-25T00:00:00"/>
    <d v="2026-06-25T00:00:00"/>
    <s v="NV An"/>
    <m/>
    <n v="6"/>
    <s v="Khách hàng 022"/>
    <x v="2"/>
    <x v="0"/>
    <s v="Active"/>
    <x v="6"/>
    <s v="CAT06"/>
    <x v="1"/>
    <n v="480000"/>
    <n v="648000"/>
    <s v="Active"/>
    <s v="A"/>
    <s v="Kho Hà Nội"/>
    <s v="Miền Bắc"/>
    <x v="3"/>
    <n v="10497600"/>
    <n v="8640000"/>
    <n v="1857600"/>
    <b v="1"/>
    <b v="1"/>
    <n v="1"/>
    <n v="0"/>
    <b v="1"/>
    <b v="0"/>
    <n v="10497600"/>
    <n v="1857600"/>
    <n v="18"/>
    <n v="18"/>
    <n v="1"/>
    <n v="1"/>
    <n v="0"/>
    <n v="1857600"/>
  </r>
  <r>
    <d v="2026-01-30T00:00:00"/>
    <s v="SO2601-0067"/>
    <n v="2"/>
    <s v="KH038"/>
    <s v="VT017"/>
    <s v="WH_HN"/>
    <n v="7"/>
    <n v="5"/>
    <n v="225000"/>
    <n v="0.02"/>
    <s v="Completed"/>
    <d v="2026-02-04T00:00:00"/>
    <d v="2026-02-06T00:00:00"/>
    <s v="NV An"/>
    <m/>
    <n v="7"/>
    <s v="Khách hàng 038"/>
    <x v="0"/>
    <x v="3"/>
    <s v="Active"/>
    <x v="7"/>
    <s v="CAT05"/>
    <x v="2"/>
    <n v="180000"/>
    <n v="225000"/>
    <s v="Active"/>
    <s v="A"/>
    <s v="Kho Hà Nội"/>
    <s v="Miền Bắc"/>
    <x v="2"/>
    <n v="1102500"/>
    <n v="900000"/>
    <n v="202500"/>
    <b v="1"/>
    <b v="1"/>
    <n v="0"/>
    <n v="2"/>
    <b v="1"/>
    <b v="0"/>
    <n v="1102500"/>
    <n v="202500"/>
    <n v="5"/>
    <n v="7"/>
    <n v="0"/>
    <n v="1"/>
    <n v="0"/>
    <n v="202500"/>
  </r>
  <r>
    <d v="2026-04-09T00:00:00"/>
    <s v="SO2604-0049"/>
    <n v="3"/>
    <s v="KH003"/>
    <s v="VT028"/>
    <s v="WH_HN"/>
    <n v="34"/>
    <n v="0"/>
    <n v="845000"/>
    <n v="0.08"/>
    <s v="Cancelled"/>
    <d v="2026-04-19T00:00:00"/>
    <m/>
    <s v="NV Bình"/>
    <m/>
    <n v="8"/>
    <s v="Khách hàng 003"/>
    <x v="2"/>
    <x v="2"/>
    <s v="Active"/>
    <x v="8"/>
    <s v="CAT04"/>
    <x v="0"/>
    <n v="650000"/>
    <n v="845000"/>
    <s v="Active"/>
    <s v="B"/>
    <s v="Kho Hà Nội"/>
    <s v="Miền Bắc"/>
    <x v="4"/>
    <n v="0"/>
    <m/>
    <n v="0"/>
    <b v="1"/>
    <b v="0"/>
    <m/>
    <m/>
    <b v="0"/>
    <b v="0"/>
    <n v="0"/>
    <n v="0"/>
    <n v="0"/>
    <n v="0"/>
    <n v="0"/>
    <n v="0"/>
    <n v="0"/>
    <n v="0"/>
  </r>
  <r>
    <d v="2026-04-04T00:00:00"/>
    <s v="SO2604-0111"/>
    <n v="1"/>
    <s v="KH022"/>
    <s v="VT021"/>
    <s v="WH_HN"/>
    <n v="20"/>
    <n v="20"/>
    <n v="413000"/>
    <n v="0.02"/>
    <s v="Completed"/>
    <d v="2026-04-09T00:00:00"/>
    <d v="2026-04-12T00:00:00"/>
    <s v="NV Chi"/>
    <m/>
    <n v="9"/>
    <s v="Khách hàng 022"/>
    <x v="2"/>
    <x v="0"/>
    <s v="Active"/>
    <x v="9"/>
    <s v="CAT03"/>
    <x v="4"/>
    <n v="350000"/>
    <n v="413000"/>
    <s v="Discontinued"/>
    <s v="C"/>
    <s v="Kho Hà Nội"/>
    <s v="Miền Bắc"/>
    <x v="4"/>
    <n v="8094800"/>
    <n v="7000000"/>
    <n v="1094800"/>
    <b v="1"/>
    <b v="1"/>
    <n v="0"/>
    <n v="3"/>
    <b v="1"/>
    <b v="0"/>
    <n v="8094800"/>
    <n v="1094800"/>
    <n v="20"/>
    <n v="20"/>
    <n v="0"/>
    <n v="1"/>
    <n v="0"/>
    <n v="1094800"/>
  </r>
  <r>
    <d v="2026-05-22T00:00:00"/>
    <s v="SO2605-0033"/>
    <n v="2"/>
    <s v="KH027"/>
    <s v="VT025"/>
    <s v="WH_DA"/>
    <n v="20"/>
    <n v="20"/>
    <n v="2304000"/>
    <n v="0.02"/>
    <s v="Completed"/>
    <d v="2026-05-24T00:00:00"/>
    <d v="2026-05-25T00:00:00"/>
    <s v="NV Chi"/>
    <m/>
    <n v="10"/>
    <s v="Khách hàng 027"/>
    <x v="2"/>
    <x v="0"/>
    <s v="Active"/>
    <x v="10"/>
    <s v="CAT01"/>
    <x v="5"/>
    <n v="1800000"/>
    <n v="2304000"/>
    <s v="Active"/>
    <s v="B"/>
    <s v="Kho Đông Anh"/>
    <s v="Miền Bắc"/>
    <x v="1"/>
    <n v="45158400"/>
    <n v="36000000"/>
    <n v="9158400"/>
    <b v="1"/>
    <b v="1"/>
    <n v="0"/>
    <n v="1"/>
    <b v="1"/>
    <b v="0"/>
    <n v="45158400"/>
    <n v="9158400"/>
    <n v="20"/>
    <n v="20"/>
    <n v="0"/>
    <n v="1"/>
    <n v="0"/>
    <n v="9158400"/>
  </r>
  <r>
    <d v="2026-04-30T00:00:00"/>
    <s v="SO2604-0114"/>
    <n v="4"/>
    <s v="KH014"/>
    <s v="VT033"/>
    <s v="WH_HCM"/>
    <n v="11"/>
    <n v="9"/>
    <n v="413000"/>
    <n v="0.1"/>
    <s v="Completed"/>
    <d v="2026-05-10T00:00:00"/>
    <d v="2026-05-12T00:00:00"/>
    <s v="NV Chi"/>
    <m/>
    <n v="11"/>
    <s v="Khách hàng 014"/>
    <x v="2"/>
    <x v="0"/>
    <s v="Active"/>
    <x v="11"/>
    <s v="CAT03"/>
    <x v="4"/>
    <n v="350000"/>
    <n v="413000"/>
    <s v="Active"/>
    <s v="B"/>
    <s v="Kho HCM"/>
    <s v="Miền Nam"/>
    <x v="4"/>
    <n v="3345300"/>
    <n v="3150000"/>
    <n v="195300"/>
    <b v="1"/>
    <b v="1"/>
    <n v="0"/>
    <n v="2"/>
    <b v="1"/>
    <b v="0"/>
    <n v="3345300"/>
    <n v="195300"/>
    <n v="9"/>
    <n v="11"/>
    <n v="0"/>
    <n v="1"/>
    <n v="0"/>
    <n v="195300"/>
  </r>
  <r>
    <d v="2026-01-24T00:00:00"/>
    <s v="SO2601-0061"/>
    <n v="3"/>
    <s v="KH015"/>
    <s v="VT013"/>
    <s v="WH_DA"/>
    <n v="2"/>
    <n v="0"/>
    <n v="614000"/>
    <n v="0"/>
    <s v="Completed"/>
    <d v="2026-01-29T00:00:00"/>
    <d v="2026-01-30T00:00:00"/>
    <s v="NV Bình"/>
    <m/>
    <n v="12"/>
    <s v="Khách hàng 015"/>
    <x v="2"/>
    <x v="1"/>
    <s v="Active"/>
    <x v="12"/>
    <s v="CAT01"/>
    <x v="5"/>
    <n v="480000"/>
    <n v="614000"/>
    <s v="Active"/>
    <s v="B"/>
    <s v="Kho Đông Anh"/>
    <s v="Miền Bắc"/>
    <x v="2"/>
    <n v="0"/>
    <n v="0"/>
    <n v="0"/>
    <b v="1"/>
    <b v="1"/>
    <n v="0"/>
    <n v="1"/>
    <b v="1"/>
    <b v="0"/>
    <n v="0"/>
    <n v="0"/>
    <n v="0"/>
    <n v="2"/>
    <n v="0"/>
    <n v="1"/>
    <n v="0"/>
    <n v="0"/>
  </r>
  <r>
    <d v="2026-06-28T00:00:00"/>
    <s v="SO2606-0099"/>
    <n v="4"/>
    <s v="KH026"/>
    <s v="VT016"/>
    <s v="WH_DA"/>
    <n v="1"/>
    <n v="0"/>
    <n v="845000"/>
    <n v="0"/>
    <s v="Cancelled"/>
    <d v="2026-07-03T00:00:00"/>
    <m/>
    <s v="NV Bình"/>
    <m/>
    <n v="13"/>
    <s v="Khách hàng 026"/>
    <x v="2"/>
    <x v="1"/>
    <s v="Active"/>
    <x v="13"/>
    <s v="CAT04"/>
    <x v="0"/>
    <n v="650000"/>
    <n v="845000"/>
    <s v="Active"/>
    <s v="C"/>
    <s v="Kho Đông Anh"/>
    <s v="Miền Bắc"/>
    <x v="3"/>
    <n v="0"/>
    <m/>
    <n v="0"/>
    <b v="1"/>
    <b v="0"/>
    <m/>
    <m/>
    <b v="0"/>
    <b v="0"/>
    <n v="0"/>
    <n v="0"/>
    <n v="0"/>
    <n v="0"/>
    <n v="0"/>
    <n v="0"/>
    <n v="0"/>
    <n v="0"/>
  </r>
  <r>
    <d v="2026-02-15T00:00:00"/>
    <s v="SO2602-0133"/>
    <n v="4"/>
    <s v="KH004"/>
    <s v="VT036"/>
    <s v="WH_DA"/>
    <n v="8"/>
    <n v="6"/>
    <n v="243000"/>
    <n v="0.08"/>
    <s v="Completed"/>
    <d v="2026-02-22T00:00:00"/>
    <d v="2026-02-24T00:00:00"/>
    <s v="NV Chi"/>
    <m/>
    <n v="14"/>
    <s v="Khách hàng 004"/>
    <x v="0"/>
    <x v="1"/>
    <s v="Active"/>
    <x v="14"/>
    <s v="CAT06"/>
    <x v="1"/>
    <n v="180000"/>
    <n v="243000"/>
    <s v="Active"/>
    <s v="C"/>
    <s v="Kho Đông Anh"/>
    <s v="Miền Bắc"/>
    <x v="5"/>
    <n v="1341360"/>
    <n v="1080000"/>
    <n v="261360"/>
    <b v="1"/>
    <b v="1"/>
    <n v="0"/>
    <n v="2"/>
    <b v="1"/>
    <b v="0"/>
    <n v="1341360"/>
    <n v="261360"/>
    <n v="6"/>
    <n v="8"/>
    <n v="0"/>
    <n v="1"/>
    <n v="0"/>
    <n v="261360"/>
  </r>
  <r>
    <d v="2026-04-24T00:00:00"/>
    <s v="SO2604-0130"/>
    <n v="4"/>
    <s v="KH036"/>
    <s v="VT029"/>
    <s v="WH_DA"/>
    <n v="31"/>
    <n v="30"/>
    <n v="1125000"/>
    <n v="0.02"/>
    <s v="Completed"/>
    <d v="2026-05-01T00:00:00"/>
    <d v="2026-05-02T00:00:00"/>
    <s v="NV Bình"/>
    <m/>
    <n v="15"/>
    <s v="Khách hàng 036"/>
    <x v="0"/>
    <x v="0"/>
    <s v="Active"/>
    <x v="15"/>
    <s v="CAT05"/>
    <x v="2"/>
    <n v="900000"/>
    <n v="1125000"/>
    <s v="Active"/>
    <s v="A"/>
    <s v="Kho Đông Anh"/>
    <s v="Miền Bắc"/>
    <x v="4"/>
    <n v="33075000"/>
    <n v="27000000"/>
    <n v="6075000"/>
    <b v="1"/>
    <b v="1"/>
    <n v="0"/>
    <n v="1"/>
    <b v="1"/>
    <b v="0"/>
    <n v="33075000"/>
    <n v="6075000"/>
    <n v="30"/>
    <n v="31"/>
    <n v="0"/>
    <n v="1"/>
    <n v="0"/>
    <n v="6075000"/>
  </r>
  <r>
    <d v="2026-03-12T00:00:00"/>
    <s v="SO2603-0113"/>
    <n v="1"/>
    <s v="KH019"/>
    <s v="VT016"/>
    <s v="WH_DN"/>
    <n v="22"/>
    <n v="22"/>
    <n v="845000"/>
    <n v="0"/>
    <s v="Completed"/>
    <d v="2026-03-14T00:00:00"/>
    <d v="2026-03-14T00:00:00"/>
    <s v="NV Dũng"/>
    <m/>
    <n v="16"/>
    <s v="Khách hàng 019"/>
    <x v="2"/>
    <x v="1"/>
    <s v="Active"/>
    <x v="13"/>
    <s v="CAT04"/>
    <x v="0"/>
    <n v="650000"/>
    <n v="845000"/>
    <s v="Active"/>
    <s v="C"/>
    <s v="Kho Đà Nẵng"/>
    <s v="Miền Trung"/>
    <x v="0"/>
    <n v="18590000"/>
    <n v="14300000"/>
    <n v="4290000"/>
    <b v="1"/>
    <b v="1"/>
    <n v="1"/>
    <n v="0"/>
    <b v="1"/>
    <b v="0"/>
    <n v="18590000"/>
    <n v="4290000"/>
    <n v="22"/>
    <n v="22"/>
    <n v="1"/>
    <n v="1"/>
    <n v="0"/>
    <n v="4290000"/>
  </r>
  <r>
    <d v="2026-06-27T00:00:00"/>
    <s v="SO2606-0040"/>
    <n v="2"/>
    <s v="KH005"/>
    <s v="VT027"/>
    <s v="WH_HCM"/>
    <n v="22"/>
    <n v="22"/>
    <n v="1062000"/>
    <n v="0"/>
    <s v="Completed"/>
    <d v="2026-07-02T00:00:00"/>
    <d v="2026-07-03T00:00:00"/>
    <s v="NV An"/>
    <m/>
    <n v="17"/>
    <s v="Khách hàng 005"/>
    <x v="0"/>
    <x v="3"/>
    <s v="Active"/>
    <x v="16"/>
    <s v="CAT03"/>
    <x v="4"/>
    <n v="900000"/>
    <n v="1062000"/>
    <s v="Active"/>
    <s v="A"/>
    <s v="Kho HCM"/>
    <s v="Miền Nam"/>
    <x v="3"/>
    <n v="23364000"/>
    <n v="19800000"/>
    <n v="3564000"/>
    <b v="1"/>
    <b v="1"/>
    <n v="0"/>
    <n v="1"/>
    <b v="1"/>
    <b v="0"/>
    <n v="23364000"/>
    <n v="3564000"/>
    <n v="22"/>
    <n v="22"/>
    <n v="0"/>
    <n v="1"/>
    <n v="0"/>
    <n v="3564000"/>
  </r>
  <r>
    <d v="2026-05-28T00:00:00"/>
    <s v="SO2605-0098"/>
    <n v="4"/>
    <s v="KH001"/>
    <s v="VT023"/>
    <s v="WH_DN"/>
    <n v="25"/>
    <n v="0"/>
    <n v="2250000"/>
    <n v="0.05"/>
    <s v="Cancelled"/>
    <d v="2026-06-04T00:00:00"/>
    <m/>
    <s v="NV Bình"/>
    <m/>
    <n v="18"/>
    <s v="Khách hàng 001"/>
    <x v="0"/>
    <x v="2"/>
    <s v="Active"/>
    <x v="3"/>
    <s v="CAT05"/>
    <x v="2"/>
    <n v="1800000"/>
    <n v="2250000"/>
    <s v="Active"/>
    <s v="A"/>
    <s v="Kho Đà Nẵng"/>
    <s v="Miền Trung"/>
    <x v="1"/>
    <n v="0"/>
    <m/>
    <n v="0"/>
    <b v="1"/>
    <b v="0"/>
    <m/>
    <m/>
    <b v="0"/>
    <b v="0"/>
    <n v="0"/>
    <n v="0"/>
    <n v="0"/>
    <n v="0"/>
    <n v="0"/>
    <n v="0"/>
    <n v="0"/>
    <n v="0"/>
  </r>
  <r>
    <d v="2026-05-05T00:00:00"/>
    <s v="SO2605-0057"/>
    <n v="3"/>
    <s v="KH028"/>
    <s v="VT032"/>
    <s v="WH_HN"/>
    <n v="25"/>
    <n v="25"/>
    <n v="1098000"/>
    <n v="0.1"/>
    <s v="Completed"/>
    <d v="2026-05-07T00:00:00"/>
    <d v="2026-05-14T00:00:00"/>
    <s v="NV Dũng"/>
    <m/>
    <n v="19"/>
    <s v="Khách hàng 028"/>
    <x v="1"/>
    <x v="1"/>
    <s v="Active"/>
    <x v="17"/>
    <s v="CAT02"/>
    <x v="3"/>
    <n v="900000"/>
    <n v="1098000"/>
    <s v="Active"/>
    <s v="B"/>
    <s v="Kho Hà Nội"/>
    <s v="Miền Bắc"/>
    <x v="1"/>
    <n v="24705000"/>
    <n v="22500000"/>
    <n v="2205000"/>
    <b v="1"/>
    <b v="1"/>
    <n v="0"/>
    <n v="7"/>
    <b v="1"/>
    <b v="0"/>
    <n v="24705000"/>
    <n v="2205000"/>
    <n v="25"/>
    <n v="25"/>
    <n v="0"/>
    <n v="1"/>
    <n v="0"/>
    <n v="2205000"/>
  </r>
  <r>
    <d v="2026-02-02T00:00:00"/>
    <s v="SO2602-0137"/>
    <n v="1"/>
    <s v="KH026"/>
    <s v="VT002"/>
    <s v="WH_HN"/>
    <n v="28"/>
    <n v="28"/>
    <n v="427000"/>
    <n v="0"/>
    <s v="Completed"/>
    <d v="2026-02-05T00:00:00"/>
    <d v="2026-02-06T00:00:00"/>
    <s v="NV Chi"/>
    <m/>
    <n v="20"/>
    <s v="Khách hàng 026"/>
    <x v="2"/>
    <x v="1"/>
    <s v="Active"/>
    <x v="4"/>
    <s v="CAT02"/>
    <x v="3"/>
    <n v="350000"/>
    <n v="427000"/>
    <s v="Active"/>
    <s v="C"/>
    <s v="Kho Hà Nội"/>
    <s v="Miền Bắc"/>
    <x v="5"/>
    <n v="11956000"/>
    <n v="9800000"/>
    <n v="2156000"/>
    <b v="1"/>
    <b v="1"/>
    <n v="0"/>
    <n v="1"/>
    <b v="1"/>
    <b v="0"/>
    <n v="11956000"/>
    <n v="2156000"/>
    <n v="28"/>
    <n v="28"/>
    <n v="0"/>
    <n v="1"/>
    <n v="0"/>
    <n v="2156000"/>
  </r>
  <r>
    <d v="2026-02-24T00:00:00"/>
    <s v="SO2602-0117"/>
    <n v="3"/>
    <s v="KH022"/>
    <s v="VT025"/>
    <s v="WH_DN"/>
    <n v="27"/>
    <n v="27"/>
    <n v="2304000"/>
    <n v="0"/>
    <s v="Completed"/>
    <d v="2026-03-06T00:00:00"/>
    <d v="2026-03-08T00:00:00"/>
    <s v="NV An"/>
    <m/>
    <n v="21"/>
    <s v="Khách hàng 022"/>
    <x v="2"/>
    <x v="0"/>
    <s v="Active"/>
    <x v="10"/>
    <s v="CAT01"/>
    <x v="5"/>
    <n v="1800000"/>
    <n v="2304000"/>
    <s v="Active"/>
    <s v="B"/>
    <s v="Kho Đà Nẵng"/>
    <s v="Miền Trung"/>
    <x v="5"/>
    <n v="62208000"/>
    <n v="48600000"/>
    <n v="13608000"/>
    <b v="1"/>
    <b v="1"/>
    <n v="0"/>
    <n v="2"/>
    <b v="1"/>
    <b v="0"/>
    <n v="62208000"/>
    <n v="13608000"/>
    <n v="27"/>
    <n v="27"/>
    <n v="0"/>
    <n v="1"/>
    <n v="0"/>
    <n v="13608000"/>
  </r>
  <r>
    <d v="2026-03-31T00:00:00"/>
    <s v="SO2603-0058"/>
    <n v="1"/>
    <s v="KH003"/>
    <s v="VT002"/>
    <s v="WH_DA"/>
    <n v="13"/>
    <n v="9"/>
    <n v="427000"/>
    <n v="0"/>
    <s v="Open"/>
    <d v="2026-04-02T00:00:00"/>
    <m/>
    <s v="NV Bình"/>
    <m/>
    <n v="22"/>
    <s v="Khách hàng 003"/>
    <x v="2"/>
    <x v="2"/>
    <s v="Active"/>
    <x v="4"/>
    <s v="CAT02"/>
    <x v="3"/>
    <n v="350000"/>
    <n v="427000"/>
    <s v="Active"/>
    <s v="C"/>
    <s v="Kho Đông Anh"/>
    <s v="Miền Bắc"/>
    <x v="0"/>
    <n v="3843000"/>
    <n v="3150000"/>
    <n v="693000"/>
    <b v="1"/>
    <b v="0"/>
    <m/>
    <m/>
    <b v="1"/>
    <b v="0"/>
    <n v="3843000"/>
    <n v="693000"/>
    <n v="9"/>
    <n v="13"/>
    <n v="0"/>
    <n v="0"/>
    <n v="0"/>
    <n v="693000"/>
  </r>
  <r>
    <d v="2026-05-02T00:00:00"/>
    <s v="SO2605-0030"/>
    <n v="2"/>
    <s v="KH030"/>
    <s v="VT017"/>
    <s v="WH_DN"/>
    <n v="11"/>
    <n v="8"/>
    <n v="225000"/>
    <n v="0"/>
    <s v="Completed"/>
    <d v="2026-05-04T00:00:00"/>
    <d v="2026-05-04T00:00:00"/>
    <s v="NV An"/>
    <m/>
    <n v="23"/>
    <s v="Khách hàng 030"/>
    <x v="2"/>
    <x v="1"/>
    <s v="Active"/>
    <x v="7"/>
    <s v="CAT05"/>
    <x v="2"/>
    <n v="180000"/>
    <n v="225000"/>
    <s v="Active"/>
    <s v="A"/>
    <s v="Kho Đà Nẵng"/>
    <s v="Miền Trung"/>
    <x v="1"/>
    <n v="1800000"/>
    <n v="1440000"/>
    <n v="360000"/>
    <b v="1"/>
    <b v="1"/>
    <n v="1"/>
    <n v="0"/>
    <b v="1"/>
    <b v="0"/>
    <n v="1800000"/>
    <n v="360000"/>
    <n v="8"/>
    <n v="11"/>
    <n v="1"/>
    <n v="1"/>
    <n v="0"/>
    <n v="360000"/>
  </r>
  <r>
    <d v="2026-05-29T00:00:00"/>
    <s v="SO2605-0007"/>
    <n v="3"/>
    <s v="KH037"/>
    <s v="VT025"/>
    <s v="WH_HCM"/>
    <n v="13"/>
    <n v="10"/>
    <n v="2304000"/>
    <n v="0"/>
    <s v="Completed"/>
    <d v="2026-05-30T00:00:00"/>
    <d v="2026-06-02T00:00:00"/>
    <s v="NV Chi"/>
    <m/>
    <n v="24"/>
    <s v="Khách hàng 037"/>
    <x v="0"/>
    <x v="0"/>
    <s v="Active"/>
    <x v="10"/>
    <s v="CAT01"/>
    <x v="5"/>
    <n v="1800000"/>
    <n v="2304000"/>
    <s v="Active"/>
    <s v="B"/>
    <s v="Kho HCM"/>
    <s v="Miền Nam"/>
    <x v="1"/>
    <n v="23040000"/>
    <n v="18000000"/>
    <n v="5040000"/>
    <b v="1"/>
    <b v="1"/>
    <n v="0"/>
    <n v="3"/>
    <b v="1"/>
    <b v="0"/>
    <n v="23040000"/>
    <n v="5040000"/>
    <n v="10"/>
    <n v="13"/>
    <n v="0"/>
    <n v="1"/>
    <n v="0"/>
    <n v="5040000"/>
  </r>
  <r>
    <d v="2026-06-25T00:00:00"/>
    <s v="SO2606-0031"/>
    <n v="1"/>
    <s v="KH023"/>
    <s v="VT035"/>
    <s v="WH_HCM"/>
    <n v="24"/>
    <n v="24"/>
    <n v="312000"/>
    <n v="0"/>
    <s v="Completed"/>
    <d v="2026-06-30T00:00:00"/>
    <d v="2026-07-07T00:00:00"/>
    <s v="NV Dũng"/>
    <m/>
    <n v="25"/>
    <s v="Khách hàng 023"/>
    <x v="1"/>
    <x v="3"/>
    <s v="Active"/>
    <x v="18"/>
    <s v="CAT05"/>
    <x v="2"/>
    <n v="250000"/>
    <n v="312000"/>
    <s v="Discontinued"/>
    <s v="C"/>
    <s v="Kho HCM"/>
    <s v="Miền Nam"/>
    <x v="3"/>
    <n v="7488000"/>
    <n v="6000000"/>
    <n v="1488000"/>
    <b v="1"/>
    <b v="1"/>
    <n v="0"/>
    <n v="7"/>
    <b v="1"/>
    <b v="0"/>
    <n v="7488000"/>
    <n v="1488000"/>
    <n v="24"/>
    <n v="24"/>
    <n v="0"/>
    <n v="1"/>
    <n v="0"/>
    <n v="1488000"/>
  </r>
  <r>
    <d v="2026-01-28T00:00:00"/>
    <s v="SO2601-0111"/>
    <n v="3"/>
    <s v="KH030"/>
    <s v="VT010"/>
    <s v="WH_HCM"/>
    <n v="12"/>
    <n v="10"/>
    <n v="1170000"/>
    <n v="0.02"/>
    <s v="Open"/>
    <d v="2026-02-04T00:00:00"/>
    <m/>
    <s v="NV Dũng"/>
    <m/>
    <n v="26"/>
    <s v="Khách hàng 030"/>
    <x v="2"/>
    <x v="1"/>
    <s v="Active"/>
    <x v="0"/>
    <s v="CAT04"/>
    <x v="0"/>
    <n v="900000"/>
    <n v="1170000"/>
    <s v="Active"/>
    <s v="A"/>
    <s v="Kho HCM"/>
    <s v="Miền Nam"/>
    <x v="2"/>
    <n v="11466000"/>
    <n v="9000000"/>
    <n v="2466000"/>
    <b v="1"/>
    <b v="0"/>
    <m/>
    <m/>
    <b v="1"/>
    <b v="0"/>
    <n v="11466000"/>
    <n v="2466000"/>
    <n v="10"/>
    <n v="12"/>
    <n v="0"/>
    <n v="0"/>
    <n v="0"/>
    <n v="2466000"/>
  </r>
  <r>
    <d v="2026-04-30T00:00:00"/>
    <s v="SO2604-0112"/>
    <n v="3"/>
    <s v="KH021"/>
    <s v="VT016"/>
    <s v="WH_HN"/>
    <n v="18"/>
    <n v="0"/>
    <n v="845000"/>
    <n v="0"/>
    <s v="Cancelled"/>
    <d v="2026-05-05T00:00:00"/>
    <m/>
    <s v="NV Dũng"/>
    <m/>
    <n v="27"/>
    <s v="Khách hàng 021"/>
    <x v="0"/>
    <x v="3"/>
    <s v="Active"/>
    <x v="13"/>
    <s v="CAT04"/>
    <x v="0"/>
    <n v="650000"/>
    <n v="845000"/>
    <s v="Active"/>
    <s v="C"/>
    <s v="Kho Hà Nội"/>
    <s v="Miền Bắc"/>
    <x v="4"/>
    <n v="0"/>
    <m/>
    <n v="0"/>
    <b v="1"/>
    <b v="0"/>
    <m/>
    <m/>
    <b v="0"/>
    <b v="0"/>
    <n v="0"/>
    <n v="0"/>
    <n v="0"/>
    <n v="0"/>
    <n v="0"/>
    <n v="0"/>
    <n v="0"/>
    <n v="0"/>
  </r>
  <r>
    <d v="2026-03-28T00:00:00"/>
    <s v="SO2603-0008"/>
    <n v="4"/>
    <s v="KH021"/>
    <s v="VT012"/>
    <s v="WH_HCM"/>
    <n v="14"/>
    <n v="14"/>
    <n v="1215000"/>
    <n v="0.02"/>
    <s v="Completed"/>
    <d v="2026-04-04T00:00:00"/>
    <d v="2026-04-07T00:00:00"/>
    <s v="NV Chi"/>
    <m/>
    <n v="28"/>
    <s v="Khách hàng 021"/>
    <x v="0"/>
    <x v="3"/>
    <s v="Active"/>
    <x v="19"/>
    <s v="CAT06"/>
    <x v="1"/>
    <n v="900000"/>
    <n v="1215000"/>
    <s v="Active"/>
    <s v="B"/>
    <s v="Kho HCM"/>
    <s v="Miền Nam"/>
    <x v="0"/>
    <n v="16669800"/>
    <n v="12600000"/>
    <n v="4069800"/>
    <b v="1"/>
    <b v="1"/>
    <n v="0"/>
    <n v="3"/>
    <b v="1"/>
    <b v="0"/>
    <n v="16669800"/>
    <n v="4069800"/>
    <n v="14"/>
    <n v="14"/>
    <n v="0"/>
    <n v="1"/>
    <n v="0"/>
    <n v="4069800"/>
  </r>
  <r>
    <d v="2026-05-23T00:00:00"/>
    <s v="SO2605-0003"/>
    <n v="2"/>
    <s v="KH006"/>
    <s v="VT016"/>
    <s v="WH_HCM"/>
    <n v="32"/>
    <n v="31"/>
    <n v="845000"/>
    <n v="0.05"/>
    <s v="Completed"/>
    <d v="2026-06-02T00:00:00"/>
    <d v="2026-06-05T00:00:00"/>
    <s v="NV Dũng"/>
    <m/>
    <n v="29"/>
    <s v="Khách hàng 006"/>
    <x v="2"/>
    <x v="0"/>
    <s v="Active"/>
    <x v="13"/>
    <s v="CAT04"/>
    <x v="0"/>
    <n v="650000"/>
    <n v="845000"/>
    <s v="Active"/>
    <s v="C"/>
    <s v="Kho HCM"/>
    <s v="Miền Nam"/>
    <x v="1"/>
    <n v="24885250"/>
    <n v="20150000"/>
    <n v="4735250"/>
    <b v="1"/>
    <b v="1"/>
    <n v="0"/>
    <n v="3"/>
    <b v="1"/>
    <b v="0"/>
    <n v="24885250"/>
    <n v="4735250"/>
    <n v="31"/>
    <n v="32"/>
    <n v="0"/>
    <n v="1"/>
    <n v="0"/>
    <n v="4735250"/>
  </r>
  <r>
    <d v="2026-04-25T00:00:00"/>
    <s v="SO2604-0005"/>
    <n v="1"/>
    <s v="KH019"/>
    <s v="VT015"/>
    <s v="WH_HCM"/>
    <n v="16"/>
    <n v="16"/>
    <n v="2124000"/>
    <n v="0.05"/>
    <s v="Completed"/>
    <d v="2026-05-02T00:00:00"/>
    <d v="2026-05-04T00:00:00"/>
    <s v="NV Chi"/>
    <m/>
    <n v="30"/>
    <s v="Khách hàng 019"/>
    <x v="2"/>
    <x v="1"/>
    <s v="Active"/>
    <x v="20"/>
    <s v="CAT03"/>
    <x v="4"/>
    <n v="1800000"/>
    <n v="2124000"/>
    <s v="Active"/>
    <s v="C"/>
    <s v="Kho HCM"/>
    <s v="Miền Nam"/>
    <x v="4"/>
    <n v="32284800"/>
    <n v="28800000"/>
    <n v="3484800"/>
    <b v="1"/>
    <b v="1"/>
    <n v="0"/>
    <n v="2"/>
    <b v="1"/>
    <b v="0"/>
    <n v="32284800"/>
    <n v="3484800"/>
    <n v="16"/>
    <n v="16"/>
    <n v="0"/>
    <n v="1"/>
    <n v="0"/>
    <n v="3484800"/>
  </r>
  <r>
    <d v="2026-04-19T00:00:00"/>
    <s v="SO2604-0141"/>
    <n v="3"/>
    <s v="KH023"/>
    <s v="VT030"/>
    <s v="WH_DN"/>
    <n v="20"/>
    <n v="19"/>
    <n v="648000"/>
    <n v="0"/>
    <s v="Completed"/>
    <d v="2026-04-22T00:00:00"/>
    <d v="2026-04-21T00:00:00"/>
    <s v="NV Bình"/>
    <m/>
    <n v="31"/>
    <s v="Khách hàng 023"/>
    <x v="1"/>
    <x v="3"/>
    <s v="Active"/>
    <x v="21"/>
    <s v="CAT06"/>
    <x v="1"/>
    <n v="480000"/>
    <n v="648000"/>
    <s v="Active"/>
    <s v="C"/>
    <s v="Kho Đà Nẵng"/>
    <s v="Miền Trung"/>
    <x v="4"/>
    <n v="12312000"/>
    <n v="9120000"/>
    <n v="3192000"/>
    <b v="1"/>
    <b v="1"/>
    <n v="1"/>
    <n v="-1"/>
    <b v="1"/>
    <b v="0"/>
    <n v="12312000"/>
    <n v="3192000"/>
    <n v="19"/>
    <n v="20"/>
    <n v="1"/>
    <n v="1"/>
    <n v="0"/>
    <n v="3192000"/>
  </r>
  <r>
    <d v="2026-02-19T00:00:00"/>
    <s v="SO2602-0056"/>
    <n v="4"/>
    <s v="KH018"/>
    <s v="VT034"/>
    <s v="WH_DN"/>
    <n v="7"/>
    <n v="2"/>
    <n v="234000"/>
    <n v="0"/>
    <s v="Open"/>
    <d v="2026-02-22T00:00:00"/>
    <m/>
    <s v="NV Bình"/>
    <m/>
    <n v="32"/>
    <s v="Khách hàng 018"/>
    <x v="0"/>
    <x v="2"/>
    <s v="Active"/>
    <x v="22"/>
    <s v="CAT04"/>
    <x v="0"/>
    <n v="180000"/>
    <n v="234000"/>
    <s v="Active"/>
    <s v="A"/>
    <s v="Kho Đà Nẵng"/>
    <s v="Miền Trung"/>
    <x v="5"/>
    <n v="468000"/>
    <n v="360000"/>
    <n v="108000"/>
    <b v="1"/>
    <b v="0"/>
    <m/>
    <m/>
    <b v="1"/>
    <b v="0"/>
    <n v="468000"/>
    <n v="108000"/>
    <n v="2"/>
    <n v="7"/>
    <n v="0"/>
    <n v="0"/>
    <n v="0"/>
    <n v="108000"/>
  </r>
  <r>
    <d v="2026-03-19T00:00:00"/>
    <s v="SO2603-0004"/>
    <n v="2"/>
    <s v="KH018"/>
    <s v="VT003"/>
    <s v="WH_HN"/>
    <n v="19"/>
    <n v="18"/>
    <n v="212000"/>
    <n v="0.05"/>
    <s v="Completed"/>
    <d v="2026-03-20T00:00:00"/>
    <d v="2026-03-27T00:00:00"/>
    <s v="NV An"/>
    <m/>
    <n v="33"/>
    <s v="Khách hàng 018"/>
    <x v="0"/>
    <x v="2"/>
    <s v="Active"/>
    <x v="5"/>
    <s v="CAT03"/>
    <x v="4"/>
    <n v="180000"/>
    <n v="212000"/>
    <s v="Active"/>
    <s v="C"/>
    <s v="Kho Hà Nội"/>
    <s v="Miền Bắc"/>
    <x v="0"/>
    <n v="3625200"/>
    <n v="3240000"/>
    <n v="385200"/>
    <b v="1"/>
    <b v="1"/>
    <n v="0"/>
    <n v="7"/>
    <b v="1"/>
    <b v="0"/>
    <n v="3625200"/>
    <n v="385200"/>
    <n v="18"/>
    <n v="19"/>
    <n v="0"/>
    <n v="1"/>
    <n v="0"/>
    <n v="385200"/>
  </r>
  <r>
    <d v="2026-05-27T00:00:00"/>
    <s v="SO2605-0073"/>
    <n v="4"/>
    <s v="KH031"/>
    <s v="VT029"/>
    <s v="WH_DN"/>
    <n v="-5"/>
    <n v="-5"/>
    <n v="1125000"/>
    <n v="0.05"/>
    <s v="Return"/>
    <d v="2026-05-28T00:00:00"/>
    <d v="2026-06-04T00:00:00"/>
    <s v="NV An"/>
    <m/>
    <n v="34"/>
    <s v="Khách hàng 031"/>
    <x v="0"/>
    <x v="1"/>
    <s v="Inactive"/>
    <x v="15"/>
    <s v="CAT05"/>
    <x v="2"/>
    <n v="900000"/>
    <n v="1125000"/>
    <s v="Active"/>
    <s v="A"/>
    <s v="Kho Đà Nẵng"/>
    <s v="Miền Trung"/>
    <x v="1"/>
    <n v="-5343750"/>
    <n v="-4500000"/>
    <n v="-843750"/>
    <b v="1"/>
    <b v="1"/>
    <n v="0"/>
    <n v="7"/>
    <b v="0"/>
    <b v="1"/>
    <n v="-5343750"/>
    <n v="-843750"/>
    <n v="0"/>
    <n v="0"/>
    <n v="0"/>
    <n v="1"/>
    <n v="-5343750"/>
    <n v="-843750"/>
  </r>
  <r>
    <d v="2026-04-13T00:00:00"/>
    <s v="SO2604-0126"/>
    <n v="1"/>
    <s v="KH037"/>
    <s v="VT004"/>
    <s v="WH_DA"/>
    <n v="10"/>
    <n v="4"/>
    <n v="234000"/>
    <n v="0"/>
    <s v="Open"/>
    <d v="2026-04-15T00:00:00"/>
    <m/>
    <s v="NV An"/>
    <m/>
    <n v="35"/>
    <s v="Khách hàng 037"/>
    <x v="0"/>
    <x v="0"/>
    <s v="Active"/>
    <x v="23"/>
    <s v="CAT04"/>
    <x v="0"/>
    <n v="180000"/>
    <n v="234000"/>
    <s v="Active"/>
    <s v="A"/>
    <s v="Kho Đông Anh"/>
    <s v="Miền Bắc"/>
    <x v="4"/>
    <n v="936000"/>
    <n v="720000"/>
    <n v="216000"/>
    <b v="1"/>
    <b v="0"/>
    <m/>
    <m/>
    <b v="1"/>
    <b v="0"/>
    <n v="936000"/>
    <n v="216000"/>
    <n v="4"/>
    <n v="10"/>
    <n v="0"/>
    <n v="0"/>
    <n v="0"/>
    <n v="216000"/>
  </r>
  <r>
    <d v="2026-05-23T00:00:00"/>
    <s v="SO2605-0107"/>
    <n v="2"/>
    <s v="KH034"/>
    <s v="VT025"/>
    <s v="WH_HCM"/>
    <n v="29"/>
    <n v="29"/>
    <n v="2304000"/>
    <n v="0.02"/>
    <s v="Completed"/>
    <d v="2026-05-30T00:00:00"/>
    <d v="2026-06-01T00:00:00"/>
    <s v="NV An"/>
    <m/>
    <n v="36"/>
    <s v="Khách hàng 034"/>
    <x v="1"/>
    <x v="0"/>
    <s v="Active"/>
    <x v="10"/>
    <s v="CAT01"/>
    <x v="5"/>
    <n v="1800000"/>
    <n v="2304000"/>
    <s v="Active"/>
    <s v="B"/>
    <s v="Kho HCM"/>
    <s v="Miền Nam"/>
    <x v="1"/>
    <n v="65479680"/>
    <n v="52200000"/>
    <n v="13279680"/>
    <b v="1"/>
    <b v="1"/>
    <n v="0"/>
    <n v="2"/>
    <b v="1"/>
    <b v="0"/>
    <n v="65479680"/>
    <n v="13279680"/>
    <n v="29"/>
    <n v="29"/>
    <n v="0"/>
    <n v="1"/>
    <n v="0"/>
    <n v="13279680"/>
  </r>
  <r>
    <d v="2026-06-06T00:00:00"/>
    <s v="SO2606-0026"/>
    <n v="2"/>
    <s v="KH014"/>
    <s v="VT017"/>
    <s v="WH_HN"/>
    <n v="11"/>
    <n v="11"/>
    <n v="225000"/>
    <n v="0"/>
    <s v="Completed"/>
    <d v="2026-06-07T00:00:00"/>
    <d v="2026-06-08T00:00:00"/>
    <s v="NV Dũng"/>
    <m/>
    <n v="37"/>
    <s v="Khách hàng 014"/>
    <x v="2"/>
    <x v="0"/>
    <s v="Active"/>
    <x v="7"/>
    <s v="CAT05"/>
    <x v="2"/>
    <n v="180000"/>
    <n v="225000"/>
    <s v="Active"/>
    <s v="A"/>
    <s v="Kho Hà Nội"/>
    <s v="Miền Bắc"/>
    <x v="3"/>
    <n v="2475000"/>
    <n v="1980000"/>
    <n v="495000"/>
    <b v="1"/>
    <b v="1"/>
    <n v="0"/>
    <n v="1"/>
    <b v="1"/>
    <b v="0"/>
    <n v="2475000"/>
    <n v="495000"/>
    <n v="11"/>
    <n v="11"/>
    <n v="0"/>
    <n v="1"/>
    <n v="0"/>
    <n v="495000"/>
  </r>
  <r>
    <d v="2026-06-26T00:00:00"/>
    <s v="SO2606-0121"/>
    <n v="3"/>
    <s v="KH003"/>
    <s v="VT015"/>
    <s v="WH_DN"/>
    <n v="19"/>
    <n v="14"/>
    <n v="2124000"/>
    <n v="0"/>
    <s v="Open"/>
    <d v="2026-07-06T00:00:00"/>
    <m/>
    <s v="NV Bình"/>
    <m/>
    <n v="38"/>
    <s v="Khách hàng 003"/>
    <x v="2"/>
    <x v="2"/>
    <s v="Active"/>
    <x v="20"/>
    <s v="CAT03"/>
    <x v="4"/>
    <n v="1800000"/>
    <n v="2124000"/>
    <s v="Active"/>
    <s v="C"/>
    <s v="Kho Đà Nẵng"/>
    <s v="Miền Trung"/>
    <x v="3"/>
    <n v="29736000"/>
    <n v="25200000"/>
    <n v="4536000"/>
    <b v="1"/>
    <b v="0"/>
    <m/>
    <m/>
    <b v="1"/>
    <b v="0"/>
    <n v="29736000"/>
    <n v="4536000"/>
    <n v="14"/>
    <n v="19"/>
    <n v="0"/>
    <n v="0"/>
    <n v="0"/>
    <n v="4536000"/>
  </r>
  <r>
    <d v="2026-03-09T00:00:00"/>
    <s v="SO2603-0051"/>
    <n v="4"/>
    <s v="KH008"/>
    <s v="VT035"/>
    <s v="WH_DA"/>
    <n v="10"/>
    <n v="0"/>
    <n v="312000"/>
    <n v="0"/>
    <s v="Cancelled"/>
    <d v="2026-03-10T00:00:00"/>
    <m/>
    <s v="NV An"/>
    <m/>
    <n v="39"/>
    <s v="Khách hàng 008"/>
    <x v="1"/>
    <x v="2"/>
    <s v="Active"/>
    <x v="18"/>
    <s v="CAT05"/>
    <x v="2"/>
    <n v="250000"/>
    <n v="312000"/>
    <s v="Discontinued"/>
    <s v="C"/>
    <s v="Kho Đông Anh"/>
    <s v="Miền Bắc"/>
    <x v="0"/>
    <n v="0"/>
    <m/>
    <n v="0"/>
    <b v="1"/>
    <b v="0"/>
    <m/>
    <m/>
    <b v="0"/>
    <b v="0"/>
    <n v="0"/>
    <n v="0"/>
    <n v="0"/>
    <n v="0"/>
    <n v="0"/>
    <n v="0"/>
    <n v="0"/>
    <n v="0"/>
  </r>
  <r>
    <d v="2026-02-12T00:00:00"/>
    <s v="SO2602-0079"/>
    <n v="3"/>
    <s v="KH029"/>
    <s v="VT008"/>
    <s v="WH_HCM"/>
    <n v="20"/>
    <n v="18"/>
    <n v="2196000"/>
    <n v="0.08"/>
    <s v="Completed"/>
    <d v="2026-02-17T00:00:00"/>
    <d v="2026-02-18T00:00:00"/>
    <s v="NV An"/>
    <m/>
    <n v="40"/>
    <s v="Khách hàng 029"/>
    <x v="1"/>
    <x v="3"/>
    <s v="Active"/>
    <x v="24"/>
    <s v="CAT02"/>
    <x v="3"/>
    <n v="1800000"/>
    <n v="2196000"/>
    <s v="Active"/>
    <s v="B"/>
    <s v="Kho HCM"/>
    <s v="Miền Nam"/>
    <x v="5"/>
    <n v="36365760"/>
    <n v="32400000"/>
    <n v="3965760"/>
    <b v="1"/>
    <b v="1"/>
    <n v="0"/>
    <n v="1"/>
    <b v="1"/>
    <b v="0"/>
    <n v="36365760"/>
    <n v="3965760"/>
    <n v="18"/>
    <n v="20"/>
    <n v="0"/>
    <n v="1"/>
    <n v="0"/>
    <n v="3965760"/>
  </r>
  <r>
    <d v="2026-06-03T00:00:00"/>
    <s v="SO2606-0011"/>
    <n v="4"/>
    <s v="KH021"/>
    <s v="VT017"/>
    <s v="WH_HN"/>
    <n v="6"/>
    <n v="3"/>
    <n v="225000"/>
    <n v="0.08"/>
    <s v="Completed"/>
    <d v="2026-06-04T00:00:00"/>
    <d v="2026-06-11T00:00:00"/>
    <s v="NV Chi"/>
    <m/>
    <n v="41"/>
    <s v="Khách hàng 021"/>
    <x v="0"/>
    <x v="3"/>
    <s v="Active"/>
    <x v="7"/>
    <s v="CAT05"/>
    <x v="2"/>
    <n v="180000"/>
    <n v="225000"/>
    <s v="Active"/>
    <s v="A"/>
    <s v="Kho Hà Nội"/>
    <s v="Miền Bắc"/>
    <x v="3"/>
    <n v="621000"/>
    <n v="540000"/>
    <n v="81000"/>
    <b v="1"/>
    <b v="1"/>
    <n v="0"/>
    <n v="7"/>
    <b v="1"/>
    <b v="0"/>
    <n v="621000"/>
    <n v="81000"/>
    <n v="3"/>
    <n v="6"/>
    <n v="0"/>
    <n v="1"/>
    <n v="0"/>
    <n v="81000"/>
  </r>
  <r>
    <d v="2026-05-28T00:00:00"/>
    <s v="SO2605-0011"/>
    <n v="2"/>
    <s v="KH031"/>
    <s v="VT034"/>
    <s v="WH_HCM"/>
    <n v="18"/>
    <n v="18"/>
    <n v="234000"/>
    <n v="0.1"/>
    <s v="Completed"/>
    <d v="2026-06-02T00:00:00"/>
    <d v="2026-06-01T00:00:00"/>
    <s v="NV Dũng"/>
    <m/>
    <n v="42"/>
    <s v="Khách hàng 031"/>
    <x v="0"/>
    <x v="1"/>
    <s v="Inactive"/>
    <x v="22"/>
    <s v="CAT04"/>
    <x v="0"/>
    <n v="180000"/>
    <n v="234000"/>
    <s v="Active"/>
    <s v="A"/>
    <s v="Kho HCM"/>
    <s v="Miền Nam"/>
    <x v="1"/>
    <n v="3790800"/>
    <n v="3240000"/>
    <n v="550800"/>
    <b v="1"/>
    <b v="1"/>
    <n v="1"/>
    <n v="-1"/>
    <b v="1"/>
    <b v="0"/>
    <n v="3790800"/>
    <n v="550800"/>
    <n v="18"/>
    <n v="18"/>
    <n v="1"/>
    <n v="1"/>
    <n v="0"/>
    <n v="550800"/>
  </r>
  <r>
    <d v="2026-03-31T00:00:00"/>
    <s v="SO2603-0105"/>
    <n v="3"/>
    <s v="KH021"/>
    <s v="VT007"/>
    <s v="WH_DA"/>
    <n v="22"/>
    <n v="22"/>
    <n v="448000"/>
    <n v="0.1"/>
    <s v="Completed"/>
    <d v="2026-04-05T00:00:00"/>
    <d v="2026-04-12T00:00:00"/>
    <s v="NV An"/>
    <m/>
    <n v="43"/>
    <s v="Khách hàng 021"/>
    <x v="0"/>
    <x v="3"/>
    <s v="Active"/>
    <x v="25"/>
    <s v="CAT01"/>
    <x v="5"/>
    <n v="350000"/>
    <n v="448000"/>
    <s v="Discontinued"/>
    <s v="C"/>
    <s v="Kho Đông Anh"/>
    <s v="Miền Bắc"/>
    <x v="0"/>
    <n v="8870400"/>
    <n v="7700000"/>
    <n v="1170400"/>
    <b v="1"/>
    <b v="1"/>
    <n v="0"/>
    <n v="7"/>
    <b v="1"/>
    <b v="0"/>
    <n v="8870400"/>
    <n v="1170400"/>
    <n v="22"/>
    <n v="22"/>
    <n v="0"/>
    <n v="1"/>
    <n v="0"/>
    <n v="1170400"/>
  </r>
  <r>
    <d v="2026-04-27T00:00:00"/>
    <s v="SO2604-0023"/>
    <n v="3"/>
    <s v="KH017"/>
    <s v="VT021"/>
    <s v="WH_HN"/>
    <n v="26"/>
    <n v="0"/>
    <n v="413000"/>
    <n v="0"/>
    <s v="Cancelled"/>
    <d v="2026-05-07T00:00:00"/>
    <m/>
    <s v="NV Dũng"/>
    <m/>
    <n v="44"/>
    <s v="Khách hàng 017"/>
    <x v="2"/>
    <x v="0"/>
    <s v="Active"/>
    <x v="9"/>
    <s v="CAT03"/>
    <x v="4"/>
    <n v="350000"/>
    <n v="413000"/>
    <s v="Discontinued"/>
    <s v="C"/>
    <s v="Kho Hà Nội"/>
    <s v="Miền Bắc"/>
    <x v="4"/>
    <n v="0"/>
    <m/>
    <n v="0"/>
    <b v="1"/>
    <b v="0"/>
    <m/>
    <m/>
    <b v="0"/>
    <b v="0"/>
    <n v="0"/>
    <n v="0"/>
    <n v="0"/>
    <n v="0"/>
    <n v="0"/>
    <n v="0"/>
    <n v="0"/>
    <n v="0"/>
  </r>
  <r>
    <d v="2026-04-16T00:00:00"/>
    <s v="SO2604-0014"/>
    <n v="2"/>
    <s v="KH034"/>
    <s v="VT024"/>
    <s v="WH_HCM"/>
    <n v="29"/>
    <n v="6"/>
    <n v="1620000"/>
    <n v="0.02"/>
    <s v="Open"/>
    <d v="2026-04-23T00:00:00"/>
    <m/>
    <s v="NV Bình"/>
    <m/>
    <n v="45"/>
    <s v="Khách hàng 034"/>
    <x v="1"/>
    <x v="0"/>
    <s v="Active"/>
    <x v="26"/>
    <s v="CAT06"/>
    <x v="1"/>
    <n v="1200000"/>
    <n v="1620000"/>
    <s v="Active"/>
    <s v="C"/>
    <s v="Kho HCM"/>
    <s v="Miền Nam"/>
    <x v="4"/>
    <n v="9525600"/>
    <n v="7200000"/>
    <n v="2325600"/>
    <b v="1"/>
    <b v="0"/>
    <m/>
    <m/>
    <b v="1"/>
    <b v="0"/>
    <n v="9525600"/>
    <n v="2325600"/>
    <n v="6"/>
    <n v="29"/>
    <n v="0"/>
    <n v="0"/>
    <n v="0"/>
    <n v="2325600"/>
  </r>
  <r>
    <d v="2026-03-15T00:00:00"/>
    <s v="SO2603-0113"/>
    <n v="4"/>
    <s v="KH008"/>
    <s v="VT002"/>
    <s v="WH_DA"/>
    <n v="11"/>
    <n v="10"/>
    <n v="427000"/>
    <n v="0.05"/>
    <s v="Completed"/>
    <d v="2026-03-16T00:00:00"/>
    <d v="2026-03-16T00:00:00"/>
    <s v="NV An"/>
    <m/>
    <n v="46"/>
    <s v="Khách hàng 008"/>
    <x v="1"/>
    <x v="2"/>
    <s v="Active"/>
    <x v="4"/>
    <s v="CAT02"/>
    <x v="3"/>
    <n v="350000"/>
    <n v="427000"/>
    <s v="Active"/>
    <s v="C"/>
    <s v="Kho Đông Anh"/>
    <s v="Miền Bắc"/>
    <x v="0"/>
    <n v="4056500"/>
    <n v="3500000"/>
    <n v="556500"/>
    <b v="1"/>
    <b v="1"/>
    <n v="1"/>
    <n v="0"/>
    <b v="1"/>
    <b v="0"/>
    <n v="4056500"/>
    <n v="556500"/>
    <n v="10"/>
    <n v="11"/>
    <n v="1"/>
    <n v="1"/>
    <n v="0"/>
    <n v="556500"/>
  </r>
  <r>
    <d v="2026-04-29T00:00:00"/>
    <s v="SO2604-0031"/>
    <n v="2"/>
    <s v="KH032"/>
    <s v="VT019"/>
    <s v="WH_DN"/>
    <n v="27"/>
    <n v="15"/>
    <n v="1152000"/>
    <n v="0"/>
    <s v="Open"/>
    <d v="2026-05-04T00:00:00"/>
    <m/>
    <s v="NV Bình"/>
    <m/>
    <n v="47"/>
    <s v="Khách hàng 032"/>
    <x v="2"/>
    <x v="3"/>
    <s v="Active"/>
    <x v="27"/>
    <s v="CAT01"/>
    <x v="5"/>
    <n v="900000"/>
    <n v="1152000"/>
    <s v="Active"/>
    <s v="C"/>
    <s v="Kho Đà Nẵng"/>
    <s v="Miền Trung"/>
    <x v="4"/>
    <n v="17280000"/>
    <n v="13500000"/>
    <n v="3780000"/>
    <b v="1"/>
    <b v="0"/>
    <m/>
    <m/>
    <b v="1"/>
    <b v="0"/>
    <n v="17280000"/>
    <n v="3780000"/>
    <n v="15"/>
    <n v="27"/>
    <n v="0"/>
    <n v="0"/>
    <n v="0"/>
    <n v="3780000"/>
  </r>
  <r>
    <d v="2026-04-09T00:00:00"/>
    <s v="SO2604-0049"/>
    <n v="2"/>
    <s v="KH005"/>
    <s v="VT018"/>
    <s v="WH_HCM"/>
    <n v="22"/>
    <n v="0"/>
    <n v="648000"/>
    <n v="0.08"/>
    <s v="Cancelled"/>
    <d v="2026-04-12T00:00:00"/>
    <m/>
    <s v="NV An"/>
    <m/>
    <n v="48"/>
    <s v="Khách hàng 005"/>
    <x v="0"/>
    <x v="3"/>
    <s v="Active"/>
    <x v="6"/>
    <s v="CAT06"/>
    <x v="1"/>
    <n v="480000"/>
    <n v="648000"/>
    <s v="Active"/>
    <s v="A"/>
    <s v="Kho HCM"/>
    <s v="Miền Nam"/>
    <x v="4"/>
    <n v="0"/>
    <m/>
    <n v="0"/>
    <b v="1"/>
    <b v="0"/>
    <m/>
    <m/>
    <b v="0"/>
    <b v="0"/>
    <n v="0"/>
    <n v="0"/>
    <n v="0"/>
    <n v="0"/>
    <n v="0"/>
    <n v="0"/>
    <n v="0"/>
    <n v="0"/>
  </r>
  <r>
    <d v="2026-03-14T00:00:00"/>
    <s v="SO2603-0077"/>
    <n v="4"/>
    <s v="KH010"/>
    <s v="VT029"/>
    <s v="WH_HCM"/>
    <n v="23"/>
    <n v="23"/>
    <n v="1125000"/>
    <n v="0.05"/>
    <s v="Completed"/>
    <d v="2026-03-17T00:00:00"/>
    <d v="2026-03-24T00:00:00"/>
    <s v="NV Bình"/>
    <m/>
    <n v="49"/>
    <s v="Khách hàng 010"/>
    <x v="0"/>
    <x v="3"/>
    <s v="Active"/>
    <x v="15"/>
    <s v="CAT05"/>
    <x v="2"/>
    <n v="900000"/>
    <n v="1125000"/>
    <s v="Active"/>
    <s v="A"/>
    <s v="Kho HCM"/>
    <s v="Miền Nam"/>
    <x v="0"/>
    <n v="24581250"/>
    <n v="20700000"/>
    <n v="3881250"/>
    <b v="1"/>
    <b v="1"/>
    <n v="0"/>
    <n v="7"/>
    <b v="1"/>
    <b v="0"/>
    <n v="24581250"/>
    <n v="3881250"/>
    <n v="23"/>
    <n v="23"/>
    <n v="0"/>
    <n v="1"/>
    <n v="0"/>
    <n v="3881250"/>
  </r>
  <r>
    <d v="2026-06-28T00:00:00"/>
    <s v="SO2606-0062"/>
    <n v="4"/>
    <s v="KH015"/>
    <s v="VT027"/>
    <s v="WH_HN"/>
    <n v="21"/>
    <n v="12"/>
    <n v="1062000"/>
    <n v="0.05"/>
    <s v="Open"/>
    <d v="2026-07-08T00:00:00"/>
    <m/>
    <s v="NV Bình"/>
    <m/>
    <n v="50"/>
    <s v="Khách hàng 015"/>
    <x v="2"/>
    <x v="1"/>
    <s v="Active"/>
    <x v="16"/>
    <s v="CAT03"/>
    <x v="4"/>
    <n v="900000"/>
    <n v="1062000"/>
    <s v="Active"/>
    <s v="A"/>
    <s v="Kho Hà Nội"/>
    <s v="Miền Bắc"/>
    <x v="3"/>
    <n v="12106800"/>
    <n v="10800000"/>
    <n v="1306800"/>
    <b v="1"/>
    <b v="0"/>
    <m/>
    <m/>
    <b v="1"/>
    <b v="0"/>
    <n v="12106800"/>
    <n v="1306800"/>
    <n v="12"/>
    <n v="21"/>
    <n v="0"/>
    <n v="0"/>
    <n v="0"/>
    <n v="1306800"/>
  </r>
  <r>
    <d v="2026-05-07T00:00:00"/>
    <s v="SO2605-0010"/>
    <n v="2"/>
    <s v="KH033"/>
    <s v="VT022"/>
    <s v="WH_HN"/>
    <n v="29"/>
    <n v="29"/>
    <n v="234000"/>
    <n v="0.1"/>
    <s v="Completed"/>
    <d v="2026-05-09T00:00:00"/>
    <d v="2026-05-10T00:00:00"/>
    <s v="NV Bình"/>
    <m/>
    <n v="51"/>
    <s v="Khách hàng 033"/>
    <x v="1"/>
    <x v="1"/>
    <s v="Active"/>
    <x v="28"/>
    <s v="CAT04"/>
    <x v="0"/>
    <n v="180000"/>
    <n v="234000"/>
    <s v="Active"/>
    <s v="A"/>
    <s v="Kho Hà Nội"/>
    <s v="Miền Bắc"/>
    <x v="1"/>
    <n v="6107400"/>
    <n v="5220000"/>
    <n v="887400"/>
    <b v="1"/>
    <b v="1"/>
    <n v="0"/>
    <n v="1"/>
    <b v="1"/>
    <b v="0"/>
    <n v="6107400"/>
    <n v="887400"/>
    <n v="29"/>
    <n v="29"/>
    <n v="0"/>
    <n v="1"/>
    <n v="0"/>
    <n v="887400"/>
  </r>
  <r>
    <d v="2026-01-20T00:00:00"/>
    <s v="SO2601-0121"/>
    <n v="3"/>
    <s v="KH022"/>
    <s v="VT026"/>
    <s v="WH_HN"/>
    <n v="22"/>
    <n v="0"/>
    <n v="146000"/>
    <n v="0.08"/>
    <s v="Cancelled"/>
    <d v="2026-01-25T00:00:00"/>
    <m/>
    <s v="NV Chi"/>
    <m/>
    <n v="52"/>
    <s v="Khách hàng 022"/>
    <x v="2"/>
    <x v="0"/>
    <s v="Active"/>
    <x v="29"/>
    <s v="CAT02"/>
    <x v="3"/>
    <n v="120000"/>
    <n v="146000"/>
    <s v="Active"/>
    <s v="B"/>
    <s v="Kho Hà Nội"/>
    <s v="Miền Bắc"/>
    <x v="2"/>
    <n v="0"/>
    <m/>
    <n v="0"/>
    <b v="1"/>
    <b v="0"/>
    <m/>
    <m/>
    <b v="0"/>
    <b v="0"/>
    <n v="0"/>
    <n v="0"/>
    <n v="0"/>
    <n v="0"/>
    <n v="0"/>
    <n v="0"/>
    <n v="0"/>
    <n v="0"/>
  </r>
  <r>
    <d v="2026-06-10T00:00:00"/>
    <s v="SO2606-0125"/>
    <n v="1"/>
    <s v="KH040"/>
    <s v="VT005"/>
    <s v="WH_DA"/>
    <n v="-2"/>
    <n v="-2"/>
    <n v="150000"/>
    <n v="0.05"/>
    <s v="Return"/>
    <d v="2026-06-11T00:00:00"/>
    <d v="2026-06-18T00:00:00"/>
    <s v="NV An"/>
    <m/>
    <n v="53"/>
    <s v="Khách hàng 040"/>
    <x v="1"/>
    <x v="0"/>
    <s v="Active"/>
    <x v="2"/>
    <s v="CAT05"/>
    <x v="2"/>
    <n v="120000"/>
    <n v="150000"/>
    <s v="Active"/>
    <s v="A"/>
    <s v="Kho Đông Anh"/>
    <s v="Miền Bắc"/>
    <x v="3"/>
    <n v="-285000"/>
    <n v="-240000"/>
    <n v="-45000"/>
    <b v="1"/>
    <b v="1"/>
    <n v="0"/>
    <n v="7"/>
    <b v="0"/>
    <b v="1"/>
    <n v="-285000"/>
    <n v="-45000"/>
    <n v="0"/>
    <n v="0"/>
    <n v="0"/>
    <n v="1"/>
    <n v="-285000"/>
    <n v="-45000"/>
  </r>
  <r>
    <d v="2026-04-24T00:00:00"/>
    <s v="SO2604-0043"/>
    <n v="3"/>
    <s v="KH999"/>
    <s v="VT003"/>
    <s v="WH_DN"/>
    <n v="4"/>
    <n v="4"/>
    <n v="212000"/>
    <n v="0"/>
    <s v="Completed"/>
    <d v="2026-04-26T00:00:00"/>
    <d v="2026-04-28T00:00:00"/>
    <s v="NV Dũng"/>
    <s v="Sai master customer"/>
    <n v="54"/>
    <m/>
    <x v="3"/>
    <x v="4"/>
    <m/>
    <x v="5"/>
    <s v="CAT03"/>
    <x v="4"/>
    <n v="180000"/>
    <n v="212000"/>
    <s v="Active"/>
    <s v="C"/>
    <s v="Kho Đà Nẵng"/>
    <s v="Miền Trung"/>
    <x v="4"/>
    <n v="848000"/>
    <n v="720000"/>
    <n v="128000"/>
    <b v="1"/>
    <b v="1"/>
    <n v="0"/>
    <n v="2"/>
    <b v="1"/>
    <b v="0"/>
    <n v="848000"/>
    <n v="128000"/>
    <n v="4"/>
    <n v="4"/>
    <n v="0"/>
    <n v="1"/>
    <n v="0"/>
    <n v="128000"/>
  </r>
  <r>
    <d v="2026-05-25T00:00:00"/>
    <s v="SO2605-0047"/>
    <n v="2"/>
    <s v="KH012"/>
    <s v="VT006"/>
    <s v="WH_HCM"/>
    <n v="16"/>
    <n v="16"/>
    <n v="2430000"/>
    <n v="0"/>
    <s v="Completed"/>
    <d v="2026-05-30T00:00:00"/>
    <d v="2026-06-02T00:00:00"/>
    <s v="NV Chi"/>
    <m/>
    <n v="55"/>
    <s v="Khách hàng 012"/>
    <x v="1"/>
    <x v="0"/>
    <s v="Active"/>
    <x v="1"/>
    <s v="CAT06"/>
    <x v="1"/>
    <n v="1800000"/>
    <n v="2430000"/>
    <s v="Active"/>
    <s v="C"/>
    <s v="Kho HCM"/>
    <s v="Miền Nam"/>
    <x v="1"/>
    <n v="38880000"/>
    <n v="28800000"/>
    <n v="10080000"/>
    <b v="1"/>
    <b v="1"/>
    <n v="0"/>
    <n v="3"/>
    <b v="1"/>
    <b v="0"/>
    <n v="38880000"/>
    <n v="10080000"/>
    <n v="16"/>
    <n v="16"/>
    <n v="0"/>
    <n v="1"/>
    <n v="0"/>
    <n v="10080000"/>
  </r>
  <r>
    <d v="2026-04-28T00:00:00"/>
    <s v="SO2604-0066"/>
    <n v="1"/>
    <s v="KH030"/>
    <s v="VT019"/>
    <s v="WH_DA"/>
    <n v="5"/>
    <n v="3"/>
    <n v="1152000"/>
    <n v="0.02"/>
    <s v="Completed"/>
    <d v="2026-05-08T00:00:00"/>
    <d v="2026-05-09T00:00:00"/>
    <s v="NV Chi"/>
    <m/>
    <n v="56"/>
    <s v="Khách hàng 030"/>
    <x v="2"/>
    <x v="1"/>
    <s v="Active"/>
    <x v="27"/>
    <s v="CAT01"/>
    <x v="5"/>
    <n v="900000"/>
    <n v="1152000"/>
    <s v="Active"/>
    <s v="C"/>
    <s v="Kho Đông Anh"/>
    <s v="Miền Bắc"/>
    <x v="4"/>
    <n v="3386880"/>
    <n v="2700000"/>
    <n v="686880"/>
    <b v="1"/>
    <b v="1"/>
    <n v="0"/>
    <n v="1"/>
    <b v="1"/>
    <b v="0"/>
    <n v="3386880"/>
    <n v="686880"/>
    <n v="3"/>
    <n v="5"/>
    <n v="0"/>
    <n v="1"/>
    <n v="0"/>
    <n v="686880"/>
  </r>
  <r>
    <d v="2026-04-27T00:00:00"/>
    <s v="SO2604-0078"/>
    <n v="2"/>
    <s v="KH025"/>
    <s v="VT031"/>
    <s v="WH_HN"/>
    <n v="16"/>
    <n v="14"/>
    <n v="2304000"/>
    <n v="0.02"/>
    <s v="Completed"/>
    <d v="2026-05-07T00:00:00"/>
    <d v="2026-05-07T00:00:00"/>
    <s v="NV An"/>
    <m/>
    <n v="57"/>
    <s v="Khách hàng 025"/>
    <x v="1"/>
    <x v="0"/>
    <s v="Active"/>
    <x v="30"/>
    <s v="CAT01"/>
    <x v="5"/>
    <n v="1800000"/>
    <n v="2304000"/>
    <s v="Active"/>
    <s v="C"/>
    <s v="Kho Hà Nội"/>
    <s v="Miền Bắc"/>
    <x v="4"/>
    <n v="31610880"/>
    <n v="25200000"/>
    <n v="6410880"/>
    <b v="1"/>
    <b v="1"/>
    <n v="1"/>
    <n v="0"/>
    <b v="1"/>
    <b v="0"/>
    <n v="31610880"/>
    <n v="6410880"/>
    <n v="14"/>
    <n v="16"/>
    <n v="1"/>
    <n v="1"/>
    <n v="0"/>
    <n v="6410880"/>
  </r>
  <r>
    <d v="2026-06-18T00:00:00"/>
    <s v="SO2606-0102"/>
    <n v="3"/>
    <s v="KH001"/>
    <s v="VT004"/>
    <s v="WH_HCM"/>
    <n v="19"/>
    <n v="7"/>
    <n v="234000"/>
    <n v="0.08"/>
    <s v="Open"/>
    <d v="2026-06-21T00:00:00"/>
    <m/>
    <s v="NV Bình"/>
    <m/>
    <n v="58"/>
    <s v="Khách hàng 001"/>
    <x v="0"/>
    <x v="2"/>
    <s v="Active"/>
    <x v="23"/>
    <s v="CAT04"/>
    <x v="0"/>
    <n v="180000"/>
    <n v="234000"/>
    <s v="Active"/>
    <s v="A"/>
    <s v="Kho HCM"/>
    <s v="Miền Nam"/>
    <x v="3"/>
    <n v="1506960"/>
    <n v="1260000"/>
    <n v="246960"/>
    <b v="1"/>
    <b v="0"/>
    <m/>
    <m/>
    <b v="1"/>
    <b v="0"/>
    <n v="1506960"/>
    <n v="246960"/>
    <n v="7"/>
    <n v="19"/>
    <n v="0"/>
    <n v="0"/>
    <n v="0"/>
    <n v="246960"/>
  </r>
  <r>
    <d v="2026-06-12T00:00:00"/>
    <s v="SO2606-0049"/>
    <n v="3"/>
    <s v="KH009"/>
    <s v="VT007"/>
    <s v="WH_HN"/>
    <n v="20"/>
    <n v="1"/>
    <n v="448000"/>
    <n v="0.08"/>
    <s v="Open"/>
    <d v="2026-06-15T00:00:00"/>
    <m/>
    <s v="NV Bình"/>
    <m/>
    <n v="59"/>
    <s v="Khách hàng 009"/>
    <x v="2"/>
    <x v="3"/>
    <s v="Inactive"/>
    <x v="25"/>
    <s v="CAT01"/>
    <x v="5"/>
    <n v="350000"/>
    <n v="448000"/>
    <s v="Discontinued"/>
    <s v="C"/>
    <s v="Kho Hà Nội"/>
    <s v="Miền Bắc"/>
    <x v="3"/>
    <n v="412160"/>
    <n v="350000"/>
    <n v="62160"/>
    <b v="1"/>
    <b v="0"/>
    <m/>
    <m/>
    <b v="1"/>
    <b v="0"/>
    <n v="412160"/>
    <n v="62160"/>
    <n v="1"/>
    <n v="20"/>
    <n v="0"/>
    <n v="0"/>
    <n v="0"/>
    <n v="62160"/>
  </r>
  <r>
    <d v="2026-01-24T00:00:00"/>
    <s v="SO2601-0076"/>
    <n v="3"/>
    <s v="KH027"/>
    <s v="VT012"/>
    <s v="WH_DA"/>
    <n v="9"/>
    <n v="5"/>
    <n v="1215000"/>
    <n v="0.08"/>
    <s v="Open"/>
    <d v="2026-01-31T00:00:00"/>
    <m/>
    <s v="NV Chi"/>
    <m/>
    <n v="60"/>
    <s v="Khách hàng 027"/>
    <x v="2"/>
    <x v="0"/>
    <s v="Active"/>
    <x v="19"/>
    <s v="CAT06"/>
    <x v="1"/>
    <n v="900000"/>
    <n v="1215000"/>
    <s v="Active"/>
    <s v="B"/>
    <s v="Kho Đông Anh"/>
    <s v="Miền Bắc"/>
    <x v="2"/>
    <n v="5589000"/>
    <n v="4500000"/>
    <n v="1089000"/>
    <b v="1"/>
    <b v="0"/>
    <m/>
    <m/>
    <b v="1"/>
    <b v="0"/>
    <n v="5589000"/>
    <n v="1089000"/>
    <n v="5"/>
    <n v="9"/>
    <n v="0"/>
    <n v="0"/>
    <n v="0"/>
    <n v="1089000"/>
  </r>
  <r>
    <d v="2026-02-12T00:00:00"/>
    <s v="SO2602-0066"/>
    <n v="4"/>
    <s v="KH019"/>
    <s v="VT022"/>
    <s v="WH_HN"/>
    <n v="-3"/>
    <n v="-3"/>
    <n v="234000"/>
    <n v="0"/>
    <s v="Return"/>
    <d v="2026-02-22T00:00:00"/>
    <d v="2026-02-25T00:00:00"/>
    <s v="NV Dũng"/>
    <m/>
    <n v="61"/>
    <s v="Khách hàng 019"/>
    <x v="2"/>
    <x v="1"/>
    <s v="Active"/>
    <x v="28"/>
    <s v="CAT04"/>
    <x v="0"/>
    <n v="180000"/>
    <n v="234000"/>
    <s v="Active"/>
    <s v="A"/>
    <s v="Kho Hà Nội"/>
    <s v="Miền Bắc"/>
    <x v="5"/>
    <n v="-702000"/>
    <n v="-540000"/>
    <n v="-162000"/>
    <b v="1"/>
    <b v="1"/>
    <n v="0"/>
    <n v="3"/>
    <b v="0"/>
    <b v="1"/>
    <n v="-702000"/>
    <n v="-162000"/>
    <n v="0"/>
    <n v="0"/>
    <n v="0"/>
    <n v="1"/>
    <n v="-702000"/>
    <n v="-162000"/>
  </r>
  <r>
    <d v="2026-05-23T00:00:00"/>
    <s v="SO2605-0094"/>
    <n v="1"/>
    <s v="KH026"/>
    <s v="VT001"/>
    <s v="WH_DN"/>
    <n v="35"/>
    <n v="33"/>
    <n v="230000"/>
    <n v="0.1"/>
    <s v="Completed"/>
    <d v="2026-06-02T00:00:00"/>
    <d v="2026-06-02T00:00:00"/>
    <s v="NV Dũng"/>
    <m/>
    <n v="62"/>
    <s v="Khách hàng 026"/>
    <x v="2"/>
    <x v="1"/>
    <s v="Active"/>
    <x v="31"/>
    <s v="CAT01"/>
    <x v="5"/>
    <n v="180000"/>
    <n v="230000"/>
    <s v="Active"/>
    <s v="B"/>
    <s v="Kho Đà Nẵng"/>
    <s v="Miền Trung"/>
    <x v="1"/>
    <n v="6831000"/>
    <n v="5940000"/>
    <n v="891000"/>
    <b v="1"/>
    <b v="1"/>
    <n v="1"/>
    <n v="0"/>
    <b v="1"/>
    <b v="0"/>
    <n v="6831000"/>
    <n v="891000"/>
    <n v="33"/>
    <n v="35"/>
    <n v="1"/>
    <n v="1"/>
    <n v="0"/>
    <n v="891000"/>
  </r>
  <r>
    <d v="2026-06-13T00:00:00"/>
    <s v="SO2606-0096"/>
    <n v="1"/>
    <s v="KH015"/>
    <s v="VT031"/>
    <s v="WH_HN"/>
    <n v="21"/>
    <n v="0"/>
    <n v="2304000"/>
    <n v="0"/>
    <s v="Cancelled"/>
    <d v="2026-06-23T00:00:00"/>
    <m/>
    <s v="NV An"/>
    <m/>
    <n v="63"/>
    <s v="Khách hàng 015"/>
    <x v="2"/>
    <x v="1"/>
    <s v="Active"/>
    <x v="30"/>
    <s v="CAT01"/>
    <x v="5"/>
    <n v="1800000"/>
    <n v="2304000"/>
    <s v="Active"/>
    <s v="C"/>
    <s v="Kho Hà Nội"/>
    <s v="Miền Bắc"/>
    <x v="3"/>
    <n v="0"/>
    <m/>
    <n v="0"/>
    <b v="1"/>
    <b v="0"/>
    <m/>
    <m/>
    <b v="0"/>
    <b v="0"/>
    <n v="0"/>
    <n v="0"/>
    <n v="0"/>
    <n v="0"/>
    <n v="0"/>
    <n v="0"/>
    <n v="0"/>
    <n v="0"/>
  </r>
  <r>
    <d v="2026-06-12T00:00:00"/>
    <s v="SO2606-0119"/>
    <n v="3"/>
    <s v="KH027"/>
    <s v="VT008"/>
    <s v="WH_DA"/>
    <n v="3"/>
    <n v="0"/>
    <n v="2196000"/>
    <n v="0.02"/>
    <s v="Cancelled"/>
    <d v="2026-06-17T00:00:00"/>
    <m/>
    <s v="NV An"/>
    <m/>
    <n v="64"/>
    <s v="Khách hàng 027"/>
    <x v="2"/>
    <x v="0"/>
    <s v="Active"/>
    <x v="24"/>
    <s v="CAT02"/>
    <x v="3"/>
    <n v="1800000"/>
    <n v="2196000"/>
    <s v="Active"/>
    <s v="B"/>
    <s v="Kho Đông Anh"/>
    <s v="Miền Bắc"/>
    <x v="3"/>
    <n v="0"/>
    <m/>
    <n v="0"/>
    <b v="1"/>
    <b v="0"/>
    <m/>
    <m/>
    <b v="0"/>
    <b v="0"/>
    <n v="0"/>
    <n v="0"/>
    <n v="0"/>
    <n v="0"/>
    <n v="0"/>
    <n v="0"/>
    <n v="0"/>
    <n v="0"/>
  </r>
  <r>
    <d v="2026-01-25T00:00:00"/>
    <s v="SO2601-0061"/>
    <n v="2"/>
    <s v="KH025"/>
    <s v="VT030"/>
    <s v="WH_DN"/>
    <n v="35"/>
    <n v="32"/>
    <n v="648000"/>
    <n v="0"/>
    <s v="Completed"/>
    <d v="2026-01-30T00:00:00"/>
    <d v="2026-02-02T00:00:00"/>
    <s v="NV An"/>
    <m/>
    <n v="65"/>
    <s v="Khách hàng 025"/>
    <x v="1"/>
    <x v="0"/>
    <s v="Active"/>
    <x v="21"/>
    <s v="CAT06"/>
    <x v="1"/>
    <n v="480000"/>
    <n v="648000"/>
    <s v="Active"/>
    <s v="C"/>
    <s v="Kho Đà Nẵng"/>
    <s v="Miền Trung"/>
    <x v="2"/>
    <n v="20736000"/>
    <n v="15360000"/>
    <n v="5376000"/>
    <b v="1"/>
    <b v="1"/>
    <n v="0"/>
    <n v="3"/>
    <b v="1"/>
    <b v="0"/>
    <n v="20736000"/>
    <n v="5376000"/>
    <n v="32"/>
    <n v="35"/>
    <n v="0"/>
    <n v="1"/>
    <n v="0"/>
    <n v="5376000"/>
  </r>
  <r>
    <d v="2026-05-06T00:00:00"/>
    <s v="SO2605-0105"/>
    <n v="3"/>
    <s v="KH003"/>
    <s v="VT024"/>
    <s v="WH_DA"/>
    <n v="29"/>
    <n v="29"/>
    <n v="1620000"/>
    <n v="0"/>
    <s v="Completed"/>
    <d v="2026-05-16T00:00:00"/>
    <d v="2026-05-16T00:00:00"/>
    <s v="NV Chi"/>
    <m/>
    <n v="66"/>
    <s v="Khách hàng 003"/>
    <x v="2"/>
    <x v="2"/>
    <s v="Active"/>
    <x v="26"/>
    <s v="CAT06"/>
    <x v="1"/>
    <n v="1200000"/>
    <n v="1620000"/>
    <s v="Active"/>
    <s v="C"/>
    <s v="Kho Đông Anh"/>
    <s v="Miền Bắc"/>
    <x v="1"/>
    <n v="46980000"/>
    <n v="34800000"/>
    <n v="12180000"/>
    <b v="1"/>
    <b v="1"/>
    <n v="1"/>
    <n v="0"/>
    <b v="1"/>
    <b v="0"/>
    <n v="46980000"/>
    <n v="12180000"/>
    <n v="29"/>
    <n v="29"/>
    <n v="1"/>
    <n v="1"/>
    <n v="0"/>
    <n v="12180000"/>
  </r>
  <r>
    <d v="2026-01-16T00:00:00"/>
    <s v="SO2601-0102"/>
    <n v="3"/>
    <s v="KH013"/>
    <s v="VT008"/>
    <s v="WH_HCM"/>
    <n v="6"/>
    <n v="3"/>
    <n v="2196000"/>
    <n v="0.08"/>
    <s v="Completed"/>
    <d v="2026-01-17T00:00:00"/>
    <d v="2026-01-16T00:00:00"/>
    <s v="NV Chi"/>
    <m/>
    <n v="67"/>
    <s v="Khách hàng 013"/>
    <x v="1"/>
    <x v="1"/>
    <s v="Active"/>
    <x v="24"/>
    <s v="CAT02"/>
    <x v="3"/>
    <n v="1800000"/>
    <n v="2196000"/>
    <s v="Active"/>
    <s v="B"/>
    <s v="Kho HCM"/>
    <s v="Miền Nam"/>
    <x v="2"/>
    <n v="6060960"/>
    <n v="5400000"/>
    <n v="660960"/>
    <b v="1"/>
    <b v="1"/>
    <n v="1"/>
    <n v="-1"/>
    <b v="1"/>
    <b v="0"/>
    <n v="6060960"/>
    <n v="660960"/>
    <n v="3"/>
    <n v="6"/>
    <n v="1"/>
    <n v="1"/>
    <n v="0"/>
    <n v="660960"/>
  </r>
  <r>
    <d v="2026-03-04T00:00:00"/>
    <s v="SO2603-0033"/>
    <n v="2"/>
    <s v="KH005"/>
    <s v="VT036"/>
    <s v="WH_DA"/>
    <n v="14"/>
    <n v="3"/>
    <n v="243000"/>
    <n v="0.02"/>
    <s v="Open"/>
    <d v="2026-03-06T00:00:00"/>
    <m/>
    <s v="NV An"/>
    <m/>
    <n v="68"/>
    <s v="Khách hàng 005"/>
    <x v="0"/>
    <x v="3"/>
    <s v="Active"/>
    <x v="14"/>
    <s v="CAT06"/>
    <x v="1"/>
    <n v="180000"/>
    <n v="243000"/>
    <s v="Active"/>
    <s v="C"/>
    <s v="Kho Đông Anh"/>
    <s v="Miền Bắc"/>
    <x v="0"/>
    <n v="714420"/>
    <n v="540000"/>
    <n v="174420"/>
    <b v="1"/>
    <b v="0"/>
    <m/>
    <m/>
    <b v="1"/>
    <b v="0"/>
    <n v="714420"/>
    <n v="174420"/>
    <n v="3"/>
    <n v="14"/>
    <n v="0"/>
    <n v="0"/>
    <n v="0"/>
    <n v="174420"/>
  </r>
  <r>
    <d v="2026-03-12T00:00:00"/>
    <s v="SO2603-0038"/>
    <n v="2"/>
    <s v="KH035"/>
    <s v="VT017"/>
    <s v="WH_DA"/>
    <n v="8"/>
    <n v="8"/>
    <n v="225000"/>
    <n v="0"/>
    <s v="Completed"/>
    <d v="2026-03-15T00:00:00"/>
    <d v="2026-03-22T00:00:00"/>
    <s v="NV Bình"/>
    <m/>
    <n v="69"/>
    <s v="Khách hàng 035"/>
    <x v="1"/>
    <x v="1"/>
    <s v="Active"/>
    <x v="7"/>
    <s v="CAT05"/>
    <x v="2"/>
    <n v="180000"/>
    <n v="225000"/>
    <s v="Active"/>
    <s v="A"/>
    <s v="Kho Đông Anh"/>
    <s v="Miền Bắc"/>
    <x v="0"/>
    <n v="1800000"/>
    <n v="1440000"/>
    <n v="360000"/>
    <b v="1"/>
    <b v="1"/>
    <n v="0"/>
    <n v="7"/>
    <b v="1"/>
    <b v="0"/>
    <n v="1800000"/>
    <n v="360000"/>
    <n v="8"/>
    <n v="8"/>
    <n v="0"/>
    <n v="1"/>
    <n v="0"/>
    <n v="360000"/>
  </r>
  <r>
    <d v="2026-05-31T00:00:00"/>
    <s v="SO2605-0083"/>
    <n v="1"/>
    <s v="KH012"/>
    <s v="VT017"/>
    <s v="WH_HN"/>
    <n v="9"/>
    <n v="8"/>
    <n v="225000"/>
    <n v="0"/>
    <s v="Open"/>
    <d v="2026-06-10T00:00:00"/>
    <m/>
    <s v="NV An"/>
    <m/>
    <n v="70"/>
    <s v="Khách hàng 012"/>
    <x v="1"/>
    <x v="0"/>
    <s v="Active"/>
    <x v="7"/>
    <s v="CAT05"/>
    <x v="2"/>
    <n v="180000"/>
    <n v="225000"/>
    <s v="Active"/>
    <s v="A"/>
    <s v="Kho Hà Nội"/>
    <s v="Miền Bắc"/>
    <x v="1"/>
    <n v="1800000"/>
    <n v="1440000"/>
    <n v="360000"/>
    <b v="1"/>
    <b v="0"/>
    <m/>
    <m/>
    <b v="1"/>
    <b v="0"/>
    <n v="1800000"/>
    <n v="360000"/>
    <n v="8"/>
    <n v="9"/>
    <n v="0"/>
    <n v="0"/>
    <n v="0"/>
    <n v="360000"/>
  </r>
  <r>
    <d v="2026-05-02T00:00:00"/>
    <s v="SO2605-0115"/>
    <n v="3"/>
    <s v="KH033"/>
    <s v="VT007"/>
    <s v="WH_HCM"/>
    <n v="33"/>
    <n v="33"/>
    <n v="448000"/>
    <n v="0.1"/>
    <s v="Completed"/>
    <d v="2026-05-12T00:00:00"/>
    <d v="2026-05-14T00:00:00"/>
    <s v="NV Chi"/>
    <m/>
    <n v="71"/>
    <s v="Khách hàng 033"/>
    <x v="1"/>
    <x v="1"/>
    <s v="Active"/>
    <x v="25"/>
    <s v="CAT01"/>
    <x v="5"/>
    <n v="350000"/>
    <n v="448000"/>
    <s v="Discontinued"/>
    <s v="C"/>
    <s v="Kho HCM"/>
    <s v="Miền Nam"/>
    <x v="1"/>
    <n v="13305600"/>
    <n v="11550000"/>
    <n v="1755600"/>
    <b v="1"/>
    <b v="1"/>
    <n v="0"/>
    <n v="2"/>
    <b v="1"/>
    <b v="0"/>
    <n v="13305600"/>
    <n v="1755600"/>
    <n v="33"/>
    <n v="33"/>
    <n v="0"/>
    <n v="1"/>
    <n v="0"/>
    <n v="1755600"/>
  </r>
  <r>
    <d v="2026-04-28T00:00:00"/>
    <s v="SO2604-0008"/>
    <n v="1"/>
    <s v="KH031"/>
    <s v="VT026"/>
    <s v="WH_HCM"/>
    <n v="7"/>
    <n v="7"/>
    <n v="146000"/>
    <n v="0"/>
    <s v="Completed"/>
    <d v="2026-05-01T00:00:00"/>
    <d v="2026-05-03T00:00:00"/>
    <s v="NV Bình"/>
    <m/>
    <n v="72"/>
    <s v="Khách hàng 031"/>
    <x v="0"/>
    <x v="1"/>
    <s v="Inactive"/>
    <x v="29"/>
    <s v="CAT02"/>
    <x v="3"/>
    <n v="120000"/>
    <n v="146000"/>
    <s v="Active"/>
    <s v="B"/>
    <s v="Kho HCM"/>
    <s v="Miền Nam"/>
    <x v="4"/>
    <n v="1022000"/>
    <n v="840000"/>
    <n v="182000"/>
    <b v="1"/>
    <b v="1"/>
    <n v="0"/>
    <n v="2"/>
    <b v="1"/>
    <b v="0"/>
    <n v="1022000"/>
    <n v="182000"/>
    <n v="7"/>
    <n v="7"/>
    <n v="0"/>
    <n v="1"/>
    <n v="0"/>
    <n v="182000"/>
  </r>
  <r>
    <d v="2026-01-17T00:00:00"/>
    <s v="SO2601-0033"/>
    <n v="3"/>
    <s v="KH040"/>
    <s v="VT036"/>
    <s v="WH_DN"/>
    <n v="-9"/>
    <n v="-9"/>
    <n v="243000"/>
    <n v="0.02"/>
    <s v="Return"/>
    <d v="2026-01-22T00:00:00"/>
    <d v="2026-01-24T00:00:00"/>
    <s v="NV Dũng"/>
    <m/>
    <n v="73"/>
    <s v="Khách hàng 040"/>
    <x v="1"/>
    <x v="0"/>
    <s v="Active"/>
    <x v="14"/>
    <s v="CAT06"/>
    <x v="1"/>
    <n v="180000"/>
    <n v="243000"/>
    <s v="Active"/>
    <s v="C"/>
    <s v="Kho Đà Nẵng"/>
    <s v="Miền Trung"/>
    <x v="2"/>
    <n v="-2143260"/>
    <n v="-1620000"/>
    <n v="-523260"/>
    <b v="1"/>
    <b v="1"/>
    <n v="0"/>
    <n v="2"/>
    <b v="0"/>
    <b v="1"/>
    <n v="-2143260"/>
    <n v="-523260"/>
    <n v="0"/>
    <n v="0"/>
    <n v="0"/>
    <n v="1"/>
    <n v="-2143260"/>
    <n v="-523260"/>
  </r>
  <r>
    <d v="2026-01-26T00:00:00"/>
    <s v="SO2601-0030"/>
    <n v="2"/>
    <s v="KH028"/>
    <s v="VT029"/>
    <s v="WH_DA"/>
    <n v="27"/>
    <n v="27"/>
    <n v="1125000"/>
    <n v="0.05"/>
    <s v="Completed"/>
    <d v="2026-02-05T00:00:00"/>
    <d v="2026-02-04T00:00:00"/>
    <s v="NV Chi"/>
    <m/>
    <n v="74"/>
    <s v="Khách hàng 028"/>
    <x v="1"/>
    <x v="1"/>
    <s v="Active"/>
    <x v="15"/>
    <s v="CAT05"/>
    <x v="2"/>
    <n v="900000"/>
    <n v="1125000"/>
    <s v="Active"/>
    <s v="A"/>
    <s v="Kho Đông Anh"/>
    <s v="Miền Bắc"/>
    <x v="2"/>
    <n v="28856250"/>
    <n v="24300000"/>
    <n v="4556250"/>
    <b v="1"/>
    <b v="1"/>
    <n v="1"/>
    <n v="-1"/>
    <b v="1"/>
    <b v="0"/>
    <n v="28856250"/>
    <n v="4556250"/>
    <n v="27"/>
    <n v="27"/>
    <n v="1"/>
    <n v="1"/>
    <n v="0"/>
    <n v="4556250"/>
  </r>
  <r>
    <d v="2026-04-20T00:00:00"/>
    <s v="SO2604-0081"/>
    <n v="3"/>
    <s v="KH024"/>
    <s v="VT010"/>
    <s v="WH_HCM"/>
    <n v="5"/>
    <n v="5"/>
    <n v="1170000"/>
    <n v="0.05"/>
    <s v="Completed"/>
    <d v="2026-04-21T00:00:00"/>
    <d v="2026-04-24T00:00:00"/>
    <s v="NV Chi"/>
    <m/>
    <n v="75"/>
    <s v="Khách hàng 024"/>
    <x v="1"/>
    <x v="3"/>
    <s v="Active"/>
    <x v="0"/>
    <s v="CAT04"/>
    <x v="0"/>
    <n v="900000"/>
    <n v="1170000"/>
    <s v="Active"/>
    <s v="A"/>
    <s v="Kho HCM"/>
    <s v="Miền Nam"/>
    <x v="4"/>
    <n v="5557500"/>
    <n v="4500000"/>
    <n v="1057500"/>
    <b v="1"/>
    <b v="1"/>
    <n v="0"/>
    <n v="3"/>
    <b v="1"/>
    <b v="0"/>
    <n v="5557500"/>
    <n v="1057500"/>
    <n v="5"/>
    <n v="5"/>
    <n v="0"/>
    <n v="1"/>
    <n v="0"/>
    <n v="1057500"/>
  </r>
  <r>
    <d v="2026-02-03T00:00:00"/>
    <s v="SO2602-0143"/>
    <n v="1"/>
    <s v="KH038"/>
    <s v="VT036"/>
    <s v="WH_DN"/>
    <n v="8"/>
    <n v="8"/>
    <n v="243000"/>
    <n v="0.1"/>
    <s v="Completed"/>
    <d v="2026-02-04T00:00:00"/>
    <d v="2026-02-04T00:00:00"/>
    <s v="NV Chi"/>
    <m/>
    <n v="76"/>
    <s v="Khách hàng 038"/>
    <x v="0"/>
    <x v="3"/>
    <s v="Active"/>
    <x v="14"/>
    <s v="CAT06"/>
    <x v="1"/>
    <n v="180000"/>
    <n v="243000"/>
    <s v="Active"/>
    <s v="C"/>
    <s v="Kho Đà Nẵng"/>
    <s v="Miền Trung"/>
    <x v="5"/>
    <n v="1749600"/>
    <n v="1440000"/>
    <n v="309600"/>
    <b v="1"/>
    <b v="1"/>
    <n v="1"/>
    <n v="0"/>
    <b v="1"/>
    <b v="0"/>
    <n v="1749600"/>
    <n v="309600"/>
    <n v="8"/>
    <n v="8"/>
    <n v="1"/>
    <n v="1"/>
    <n v="0"/>
    <n v="309600"/>
  </r>
  <r>
    <d v="2026-04-01T00:00:00"/>
    <s v="SO2604-0027"/>
    <n v="2"/>
    <s v="KH010"/>
    <s v="VT999"/>
    <s v="WH_DA"/>
    <n v="7"/>
    <n v="7"/>
    <n v="2304000"/>
    <n v="0"/>
    <s v="Completed"/>
    <d v="2026-04-04T00:00:00"/>
    <d v="2026-04-06T00:00:00"/>
    <s v="NV Bình"/>
    <s v="Sai master item"/>
    <n v="77"/>
    <s v="Khách hàng 010"/>
    <x v="0"/>
    <x v="3"/>
    <s v="Active"/>
    <x v="32"/>
    <m/>
    <x v="6"/>
    <m/>
    <m/>
    <m/>
    <m/>
    <s v="Kho Đông Anh"/>
    <s v="Miền Bắc"/>
    <x v="4"/>
    <n v="16128000"/>
    <m/>
    <n v="16128000"/>
    <b v="0"/>
    <b v="1"/>
    <n v="0"/>
    <n v="2"/>
    <b v="1"/>
    <b v="0"/>
    <n v="0"/>
    <n v="0"/>
    <n v="7"/>
    <n v="7"/>
    <n v="0"/>
    <n v="1"/>
    <n v="0"/>
    <n v="0"/>
  </r>
  <r>
    <d v="2026-04-20T00:00:00"/>
    <s v="SO2604-0144"/>
    <n v="1"/>
    <s v="KH039"/>
    <s v="VT018"/>
    <s v="WH_HN"/>
    <n v="12"/>
    <n v="12"/>
    <n v="648000"/>
    <n v="0.02"/>
    <s v="Completed"/>
    <d v="2026-04-21T00:00:00"/>
    <d v="2026-04-21T00:00:00"/>
    <s v="NV Bình"/>
    <m/>
    <n v="78"/>
    <s v="Khách hàng 039"/>
    <x v="2"/>
    <x v="3"/>
    <s v="Active"/>
    <x v="6"/>
    <s v="CAT06"/>
    <x v="1"/>
    <n v="480000"/>
    <n v="648000"/>
    <s v="Active"/>
    <s v="A"/>
    <s v="Kho Hà Nội"/>
    <s v="Miền Bắc"/>
    <x v="4"/>
    <n v="7620480"/>
    <n v="5760000"/>
    <n v="1860480"/>
    <b v="1"/>
    <b v="1"/>
    <n v="1"/>
    <n v="0"/>
    <b v="1"/>
    <b v="0"/>
    <n v="7620480"/>
    <n v="1860480"/>
    <n v="12"/>
    <n v="12"/>
    <n v="1"/>
    <n v="1"/>
    <n v="0"/>
    <n v="1860480"/>
  </r>
  <r>
    <d v="2026-05-25T00:00:00"/>
    <s v="SO2605-0103"/>
    <n v="1"/>
    <s v="KH010"/>
    <s v="VT002"/>
    <s v="WH_HN"/>
    <n v="34"/>
    <n v="34"/>
    <n v="427000"/>
    <n v="0.02"/>
    <s v="Completed"/>
    <d v="2026-05-27T00:00:00"/>
    <d v="2026-05-27T00:00:00"/>
    <s v="NV Chi"/>
    <m/>
    <n v="79"/>
    <s v="Khách hàng 010"/>
    <x v="0"/>
    <x v="3"/>
    <s v="Active"/>
    <x v="4"/>
    <s v="CAT02"/>
    <x v="3"/>
    <n v="350000"/>
    <n v="427000"/>
    <s v="Active"/>
    <s v="C"/>
    <s v="Kho Hà Nội"/>
    <s v="Miền Bắc"/>
    <x v="1"/>
    <n v="14227640"/>
    <n v="11900000"/>
    <n v="2327640"/>
    <b v="1"/>
    <b v="1"/>
    <n v="1"/>
    <n v="0"/>
    <b v="1"/>
    <b v="0"/>
    <n v="14227640"/>
    <n v="2327640"/>
    <n v="34"/>
    <n v="34"/>
    <n v="1"/>
    <n v="1"/>
    <n v="0"/>
    <n v="2327640"/>
  </r>
  <r>
    <d v="2026-03-25T00:00:00"/>
    <s v="SO2603-0022"/>
    <n v="1"/>
    <s v="KH010"/>
    <s v="VT011"/>
    <s v="WH_HN"/>
    <n v="6"/>
    <n v="6"/>
    <n v="437000"/>
    <n v="0.05"/>
    <s v="Completed"/>
    <d v="2026-04-01T00:00:00"/>
    <d v="2026-04-02T00:00:00"/>
    <s v="NV Dũng"/>
    <m/>
    <n v="80"/>
    <s v="Khách hàng 010"/>
    <x v="0"/>
    <x v="3"/>
    <s v="Active"/>
    <x v="33"/>
    <s v="CAT05"/>
    <x v="2"/>
    <n v="350000"/>
    <n v="437000"/>
    <s v="Active"/>
    <s v="A"/>
    <s v="Kho Hà Nội"/>
    <s v="Miền Bắc"/>
    <x v="0"/>
    <n v="2490900"/>
    <n v="2100000"/>
    <n v="390900"/>
    <b v="1"/>
    <b v="1"/>
    <n v="0"/>
    <n v="1"/>
    <b v="1"/>
    <b v="0"/>
    <n v="2490900"/>
    <n v="390900"/>
    <n v="6"/>
    <n v="6"/>
    <n v="0"/>
    <n v="1"/>
    <n v="0"/>
    <n v="390900"/>
  </r>
  <r>
    <d v="2026-03-11T00:00:00"/>
    <s v="SO2603-0056"/>
    <n v="1"/>
    <s v="KH023"/>
    <s v="VT028"/>
    <s v="WH_HN"/>
    <n v="19"/>
    <n v="19"/>
    <n v="845000"/>
    <n v="0.08"/>
    <s v="Completed"/>
    <d v="2026-03-21T00:00:00"/>
    <d v="2026-03-21T00:00:00"/>
    <s v="NV An"/>
    <m/>
    <n v="81"/>
    <s v="Khách hàng 023"/>
    <x v="1"/>
    <x v="3"/>
    <s v="Active"/>
    <x v="8"/>
    <s v="CAT04"/>
    <x v="0"/>
    <n v="650000"/>
    <n v="845000"/>
    <s v="Active"/>
    <s v="B"/>
    <s v="Kho Hà Nội"/>
    <s v="Miền Bắc"/>
    <x v="0"/>
    <n v="14770600"/>
    <n v="12350000"/>
    <n v="2420600"/>
    <b v="1"/>
    <b v="1"/>
    <n v="1"/>
    <n v="0"/>
    <b v="1"/>
    <b v="0"/>
    <n v="14770600"/>
    <n v="2420600"/>
    <n v="19"/>
    <n v="19"/>
    <n v="1"/>
    <n v="1"/>
    <n v="0"/>
    <n v="2420600"/>
  </r>
  <r>
    <d v="2026-02-26T00:00:00"/>
    <s v="SO2602-0102"/>
    <n v="1"/>
    <s v="KH001"/>
    <s v="VT014"/>
    <s v="WH_DN"/>
    <n v="14"/>
    <n v="12"/>
    <n v="2196000"/>
    <n v="0.02"/>
    <s v="Open"/>
    <d v="2026-03-01T00:00:00"/>
    <m/>
    <s v="NV Chi"/>
    <m/>
    <n v="82"/>
    <s v="Khách hàng 001"/>
    <x v="0"/>
    <x v="2"/>
    <s v="Active"/>
    <x v="34"/>
    <s v="CAT02"/>
    <x v="3"/>
    <n v="1800000"/>
    <n v="2196000"/>
    <s v="Active"/>
    <s v="A"/>
    <s v="Kho Đà Nẵng"/>
    <s v="Miền Trung"/>
    <x v="5"/>
    <n v="25824960"/>
    <n v="21600000"/>
    <n v="4224960"/>
    <b v="1"/>
    <b v="0"/>
    <m/>
    <m/>
    <b v="1"/>
    <b v="0"/>
    <n v="25824960"/>
    <n v="4224960"/>
    <n v="12"/>
    <n v="14"/>
    <n v="0"/>
    <n v="0"/>
    <n v="0"/>
    <n v="4224960"/>
  </r>
  <r>
    <d v="2026-01-31T00:00:00"/>
    <s v="SO2601-0002"/>
    <n v="4"/>
    <s v="KH028"/>
    <s v="VT012"/>
    <s v="WH_DA"/>
    <n v="25"/>
    <n v="24"/>
    <n v="1215000"/>
    <n v="0.08"/>
    <s v="Completed"/>
    <d v="2026-02-10T00:00:00"/>
    <d v="2026-02-17T00:00:00"/>
    <s v="NV Chi"/>
    <m/>
    <n v="83"/>
    <s v="Khách hàng 028"/>
    <x v="1"/>
    <x v="1"/>
    <s v="Active"/>
    <x v="19"/>
    <s v="CAT06"/>
    <x v="1"/>
    <n v="900000"/>
    <n v="1215000"/>
    <s v="Active"/>
    <s v="B"/>
    <s v="Kho Đông Anh"/>
    <s v="Miền Bắc"/>
    <x v="2"/>
    <n v="26827200"/>
    <n v="21600000"/>
    <n v="5227200"/>
    <b v="1"/>
    <b v="1"/>
    <n v="0"/>
    <n v="7"/>
    <b v="1"/>
    <b v="0"/>
    <n v="26827200"/>
    <n v="5227200"/>
    <n v="24"/>
    <n v="25"/>
    <n v="0"/>
    <n v="1"/>
    <n v="0"/>
    <n v="5227200"/>
  </r>
  <r>
    <d v="2026-01-19T00:00:00"/>
    <s v="SO2601-0102"/>
    <n v="1"/>
    <s v="KH028"/>
    <s v="VT002"/>
    <s v="WH_HCM"/>
    <n v="5"/>
    <n v="0"/>
    <n v="427000"/>
    <n v="0.08"/>
    <s v="Cancelled"/>
    <d v="2026-01-24T00:00:00"/>
    <m/>
    <s v="NV Dũng"/>
    <m/>
    <n v="84"/>
    <s v="Khách hàng 028"/>
    <x v="1"/>
    <x v="1"/>
    <s v="Active"/>
    <x v="4"/>
    <s v="CAT02"/>
    <x v="3"/>
    <n v="350000"/>
    <n v="427000"/>
    <s v="Active"/>
    <s v="C"/>
    <s v="Kho HCM"/>
    <s v="Miền Nam"/>
    <x v="2"/>
    <n v="0"/>
    <m/>
    <n v="0"/>
    <b v="1"/>
    <b v="0"/>
    <m/>
    <m/>
    <b v="0"/>
    <b v="0"/>
    <n v="0"/>
    <n v="0"/>
    <n v="0"/>
    <n v="0"/>
    <n v="0"/>
    <n v="0"/>
    <n v="0"/>
    <n v="0"/>
  </r>
  <r>
    <d v="2026-06-13T00:00:00"/>
    <s v="SO2606-0107"/>
    <n v="3"/>
    <s v="KH008"/>
    <s v="VT026"/>
    <s v="WH_HN"/>
    <n v="21"/>
    <n v="21"/>
    <n v="146000"/>
    <n v="0.1"/>
    <s v="Completed"/>
    <d v="2026-06-16T00:00:00"/>
    <d v="2026-06-15T00:00:00"/>
    <s v="NV Dũng"/>
    <m/>
    <n v="85"/>
    <s v="Khách hàng 008"/>
    <x v="1"/>
    <x v="2"/>
    <s v="Active"/>
    <x v="29"/>
    <s v="CAT02"/>
    <x v="3"/>
    <n v="120000"/>
    <n v="146000"/>
    <s v="Active"/>
    <s v="B"/>
    <s v="Kho Hà Nội"/>
    <s v="Miền Bắc"/>
    <x v="3"/>
    <n v="2759400"/>
    <n v="2520000"/>
    <n v="239400"/>
    <b v="1"/>
    <b v="1"/>
    <n v="1"/>
    <n v="-1"/>
    <b v="1"/>
    <b v="0"/>
    <n v="2759400"/>
    <n v="239400"/>
    <n v="21"/>
    <n v="21"/>
    <n v="1"/>
    <n v="1"/>
    <n v="0"/>
    <n v="239400"/>
  </r>
  <r>
    <d v="2026-01-28T00:00:00"/>
    <s v="SO2601-0063"/>
    <n v="4"/>
    <s v="KH038"/>
    <s v="VT026"/>
    <s v="WH_HN"/>
    <n v="26"/>
    <n v="0"/>
    <n v="146000"/>
    <n v="0.1"/>
    <s v="Cancelled"/>
    <d v="2026-01-31T00:00:00"/>
    <m/>
    <s v="NV Bình"/>
    <m/>
    <n v="86"/>
    <s v="Khách hàng 038"/>
    <x v="0"/>
    <x v="3"/>
    <s v="Active"/>
    <x v="29"/>
    <s v="CAT02"/>
    <x v="3"/>
    <n v="120000"/>
    <n v="146000"/>
    <s v="Active"/>
    <s v="B"/>
    <s v="Kho Hà Nội"/>
    <s v="Miền Bắc"/>
    <x v="2"/>
    <n v="0"/>
    <m/>
    <n v="0"/>
    <b v="1"/>
    <b v="0"/>
    <m/>
    <m/>
    <b v="0"/>
    <b v="0"/>
    <n v="0"/>
    <n v="0"/>
    <n v="0"/>
    <n v="0"/>
    <n v="0"/>
    <n v="0"/>
    <n v="0"/>
    <n v="0"/>
  </r>
  <r>
    <d v="2026-03-27T00:00:00"/>
    <s v="SO2603-0044"/>
    <n v="1"/>
    <s v="KH033"/>
    <s v="VT008"/>
    <s v="WH_DA"/>
    <n v="23"/>
    <n v="23"/>
    <n v="2196000"/>
    <n v="0"/>
    <s v="Completed"/>
    <d v="2026-03-28T00:00:00"/>
    <d v="2026-03-28T00:00:00"/>
    <s v="NV Chi"/>
    <m/>
    <n v="87"/>
    <s v="Khách hàng 033"/>
    <x v="1"/>
    <x v="1"/>
    <s v="Active"/>
    <x v="24"/>
    <s v="CAT02"/>
    <x v="3"/>
    <n v="1800000"/>
    <n v="2196000"/>
    <s v="Active"/>
    <s v="B"/>
    <s v="Kho Đông Anh"/>
    <s v="Miền Bắc"/>
    <x v="0"/>
    <n v="50508000"/>
    <n v="41400000"/>
    <n v="9108000"/>
    <b v="1"/>
    <b v="1"/>
    <n v="1"/>
    <n v="0"/>
    <b v="1"/>
    <b v="0"/>
    <n v="50508000"/>
    <n v="9108000"/>
    <n v="23"/>
    <n v="23"/>
    <n v="1"/>
    <n v="1"/>
    <n v="0"/>
    <n v="9108000"/>
  </r>
  <r>
    <d v="2026-02-20T00:00:00"/>
    <s v="SO2602-0045"/>
    <n v="2"/>
    <s v="KH005"/>
    <s v="VT012"/>
    <s v="WH_HCM"/>
    <n v="30"/>
    <n v="24"/>
    <n v="1215000"/>
    <n v="0.08"/>
    <s v="Open"/>
    <d v="2026-02-25T00:00:00"/>
    <m/>
    <s v="NV Chi"/>
    <m/>
    <n v="88"/>
    <s v="Khách hàng 005"/>
    <x v="0"/>
    <x v="3"/>
    <s v="Active"/>
    <x v="19"/>
    <s v="CAT06"/>
    <x v="1"/>
    <n v="900000"/>
    <n v="1215000"/>
    <s v="Active"/>
    <s v="B"/>
    <s v="Kho HCM"/>
    <s v="Miền Nam"/>
    <x v="5"/>
    <n v="26827200"/>
    <n v="21600000"/>
    <n v="5227200"/>
    <b v="1"/>
    <b v="0"/>
    <m/>
    <m/>
    <b v="1"/>
    <b v="0"/>
    <n v="26827200"/>
    <n v="5227200"/>
    <n v="24"/>
    <n v="30"/>
    <n v="0"/>
    <n v="0"/>
    <n v="0"/>
    <n v="5227200"/>
  </r>
  <r>
    <d v="2026-06-10T00:00:00"/>
    <s v="SO2606-0081"/>
    <n v="2"/>
    <s v="KH029"/>
    <s v="VT005"/>
    <s v="WH_HCM"/>
    <n v="29"/>
    <n v="27"/>
    <n v="150000"/>
    <n v="0"/>
    <s v="Completed"/>
    <d v="2026-06-13T00:00:00"/>
    <d v="2026-06-15T00:00:00"/>
    <s v="NV An"/>
    <m/>
    <n v="89"/>
    <s v="Khách hàng 029"/>
    <x v="1"/>
    <x v="3"/>
    <s v="Active"/>
    <x v="2"/>
    <s v="CAT05"/>
    <x v="2"/>
    <n v="120000"/>
    <n v="150000"/>
    <s v="Active"/>
    <s v="A"/>
    <s v="Kho HCM"/>
    <s v="Miền Nam"/>
    <x v="3"/>
    <n v="4050000"/>
    <n v="3240000"/>
    <n v="810000"/>
    <b v="1"/>
    <b v="1"/>
    <n v="0"/>
    <n v="2"/>
    <b v="1"/>
    <b v="0"/>
    <n v="4050000"/>
    <n v="810000"/>
    <n v="27"/>
    <n v="29"/>
    <n v="0"/>
    <n v="1"/>
    <n v="0"/>
    <n v="810000"/>
  </r>
  <r>
    <d v="2026-03-21T00:00:00"/>
    <s v="SO2603-0119"/>
    <n v="4"/>
    <s v="KH003"/>
    <s v="VT004"/>
    <s v="WH_DN"/>
    <n v="19"/>
    <n v="18"/>
    <n v="234000"/>
    <n v="0.08"/>
    <s v="Completed"/>
    <d v="2026-03-28T00:00:00"/>
    <d v="2026-03-29T00:00:00"/>
    <s v="NV Dũng"/>
    <m/>
    <n v="90"/>
    <s v="Khách hàng 003"/>
    <x v="2"/>
    <x v="2"/>
    <s v="Active"/>
    <x v="23"/>
    <s v="CAT04"/>
    <x v="0"/>
    <n v="180000"/>
    <n v="234000"/>
    <s v="Active"/>
    <s v="A"/>
    <s v="Kho Đà Nẵng"/>
    <s v="Miền Trung"/>
    <x v="0"/>
    <n v="3875040"/>
    <n v="3240000"/>
    <n v="635040"/>
    <b v="1"/>
    <b v="1"/>
    <n v="0"/>
    <n v="1"/>
    <b v="1"/>
    <b v="0"/>
    <n v="3875040"/>
    <n v="635040"/>
    <n v="18"/>
    <n v="19"/>
    <n v="0"/>
    <n v="1"/>
    <n v="0"/>
    <n v="635040"/>
  </r>
  <r>
    <d v="2026-05-29T00:00:00"/>
    <s v="SO2605-0142"/>
    <n v="1"/>
    <s v="KH029"/>
    <s v="VT013"/>
    <s v="WH_DN"/>
    <n v="31"/>
    <n v="31"/>
    <n v="614000"/>
    <n v="0"/>
    <s v="Completed"/>
    <d v="2026-06-01T00:00:00"/>
    <d v="2026-06-04T00:00:00"/>
    <s v="NV An"/>
    <m/>
    <n v="91"/>
    <s v="Khách hàng 029"/>
    <x v="1"/>
    <x v="3"/>
    <s v="Active"/>
    <x v="12"/>
    <s v="CAT01"/>
    <x v="5"/>
    <n v="480000"/>
    <n v="614000"/>
    <s v="Active"/>
    <s v="B"/>
    <s v="Kho Đà Nẵng"/>
    <s v="Miền Trung"/>
    <x v="1"/>
    <n v="19034000"/>
    <n v="14880000"/>
    <n v="4154000"/>
    <b v="1"/>
    <b v="1"/>
    <n v="0"/>
    <n v="3"/>
    <b v="1"/>
    <b v="0"/>
    <n v="19034000"/>
    <n v="4154000"/>
    <n v="31"/>
    <n v="31"/>
    <n v="0"/>
    <n v="1"/>
    <n v="0"/>
    <n v="4154000"/>
  </r>
  <r>
    <d v="2026-05-10T00:00:00"/>
    <s v="SO2605-0045"/>
    <n v="1"/>
    <s v="KH016"/>
    <s v="VT029"/>
    <s v="WH_HCM"/>
    <n v="34"/>
    <n v="34"/>
    <n v="1125000"/>
    <n v="0.02"/>
    <s v="Completed"/>
    <d v="2026-05-13T00:00:00"/>
    <d v="2026-05-14T00:00:00"/>
    <s v="NV Dũng"/>
    <m/>
    <n v="92"/>
    <s v="Khách hàng 016"/>
    <x v="0"/>
    <x v="1"/>
    <s v="Active"/>
    <x v="15"/>
    <s v="CAT05"/>
    <x v="2"/>
    <n v="900000"/>
    <n v="1125000"/>
    <s v="Active"/>
    <s v="A"/>
    <s v="Kho HCM"/>
    <s v="Miền Nam"/>
    <x v="1"/>
    <n v="37485000"/>
    <n v="30600000"/>
    <n v="6885000"/>
    <b v="1"/>
    <b v="1"/>
    <n v="0"/>
    <n v="1"/>
    <b v="1"/>
    <b v="0"/>
    <n v="37485000"/>
    <n v="6885000"/>
    <n v="34"/>
    <n v="34"/>
    <n v="0"/>
    <n v="1"/>
    <n v="0"/>
    <n v="6885000"/>
  </r>
  <r>
    <d v="2026-03-28T00:00:00"/>
    <s v="SO2603-0014"/>
    <n v="3"/>
    <s v="KH005"/>
    <s v="VT022"/>
    <s v="WH_HN"/>
    <n v="25"/>
    <n v="22"/>
    <n v="234000"/>
    <n v="0.08"/>
    <s v="Completed"/>
    <d v="2026-03-30T00:00:00"/>
    <d v="2026-03-30T00:00:00"/>
    <s v="NV An"/>
    <m/>
    <n v="93"/>
    <s v="Khách hàng 005"/>
    <x v="0"/>
    <x v="3"/>
    <s v="Active"/>
    <x v="28"/>
    <s v="CAT04"/>
    <x v="0"/>
    <n v="180000"/>
    <n v="234000"/>
    <s v="Active"/>
    <s v="A"/>
    <s v="Kho Hà Nội"/>
    <s v="Miền Bắc"/>
    <x v="0"/>
    <n v="4736160"/>
    <n v="3960000"/>
    <n v="776160"/>
    <b v="1"/>
    <b v="1"/>
    <n v="1"/>
    <n v="0"/>
    <b v="1"/>
    <b v="0"/>
    <n v="4736160"/>
    <n v="776160"/>
    <n v="22"/>
    <n v="25"/>
    <n v="1"/>
    <n v="1"/>
    <n v="0"/>
    <n v="776160"/>
  </r>
  <r>
    <d v="2026-05-30T00:00:00"/>
    <s v="SO2605-0037"/>
    <n v="3"/>
    <s v="KH020"/>
    <s v="VT026"/>
    <s v="WH_DA"/>
    <n v="6"/>
    <n v="4"/>
    <n v="146000"/>
    <n v="0.02"/>
    <s v="Completed"/>
    <d v="2026-06-01T00:00:00"/>
    <d v="2026-06-04T00:00:00"/>
    <s v="NV An"/>
    <m/>
    <n v="94"/>
    <s v="Khách hàng 020"/>
    <x v="1"/>
    <x v="0"/>
    <s v="Active"/>
    <x v="29"/>
    <s v="CAT02"/>
    <x v="3"/>
    <n v="120000"/>
    <n v="146000"/>
    <s v="Active"/>
    <s v="B"/>
    <s v="Kho Đông Anh"/>
    <s v="Miền Bắc"/>
    <x v="1"/>
    <n v="572320"/>
    <n v="480000"/>
    <n v="92320"/>
    <b v="1"/>
    <b v="1"/>
    <n v="0"/>
    <n v="3"/>
    <b v="1"/>
    <b v="0"/>
    <n v="572320"/>
    <n v="92320"/>
    <n v="4"/>
    <n v="6"/>
    <n v="0"/>
    <n v="1"/>
    <n v="0"/>
    <n v="92320"/>
  </r>
  <r>
    <d v="2026-06-15T00:00:00"/>
    <s v="SO2606-0109"/>
    <n v="3"/>
    <s v="KH002"/>
    <s v="VT024"/>
    <s v="WH_DN"/>
    <n v="-6"/>
    <n v="-6"/>
    <n v="1620000"/>
    <n v="0.05"/>
    <s v="Return"/>
    <d v="2026-06-17T00:00:00"/>
    <d v="2026-06-17T00:00:00"/>
    <s v="NV Bình"/>
    <m/>
    <n v="95"/>
    <s v="Khách hàng 002"/>
    <x v="2"/>
    <x v="3"/>
    <s v="Active"/>
    <x v="26"/>
    <s v="CAT06"/>
    <x v="1"/>
    <n v="1200000"/>
    <n v="1620000"/>
    <s v="Active"/>
    <s v="C"/>
    <s v="Kho Đà Nẵng"/>
    <s v="Miền Trung"/>
    <x v="3"/>
    <n v="-9234000"/>
    <n v="-7200000"/>
    <n v="-2034000"/>
    <b v="1"/>
    <b v="1"/>
    <n v="1"/>
    <n v="0"/>
    <b v="0"/>
    <b v="1"/>
    <n v="-9234000"/>
    <n v="-2034000"/>
    <n v="0"/>
    <n v="0"/>
    <n v="1"/>
    <n v="1"/>
    <n v="-9234000"/>
    <n v="-2034000"/>
  </r>
  <r>
    <d v="2026-02-09T00:00:00"/>
    <s v="SO2602-0020"/>
    <n v="3"/>
    <s v="KH007"/>
    <s v="VT033"/>
    <s v="WH_HN"/>
    <n v="22"/>
    <n v="0"/>
    <n v="413000"/>
    <n v="0.08"/>
    <s v="Cancelled"/>
    <d v="2026-02-11T00:00:00"/>
    <m/>
    <s v="NV Dũng"/>
    <m/>
    <n v="96"/>
    <s v="Khách hàng 007"/>
    <x v="2"/>
    <x v="2"/>
    <s v="Active"/>
    <x v="11"/>
    <s v="CAT03"/>
    <x v="4"/>
    <n v="350000"/>
    <n v="413000"/>
    <s v="Active"/>
    <s v="B"/>
    <s v="Kho Hà Nội"/>
    <s v="Miền Bắc"/>
    <x v="5"/>
    <n v="0"/>
    <m/>
    <n v="0"/>
    <b v="1"/>
    <b v="0"/>
    <m/>
    <m/>
    <b v="0"/>
    <b v="0"/>
    <n v="0"/>
    <n v="0"/>
    <n v="0"/>
    <n v="0"/>
    <n v="0"/>
    <n v="0"/>
    <n v="0"/>
    <n v="0"/>
  </r>
  <r>
    <d v="2026-02-09T00:00:00"/>
    <s v="SO2602-0042"/>
    <n v="2"/>
    <s v="KH040"/>
    <s v="VT011"/>
    <s v="WH_OLD"/>
    <n v="3"/>
    <n v="0"/>
    <n v="437000"/>
    <n v="0"/>
    <s v="Completed"/>
    <d v="2026-02-14T00:00:00"/>
    <d v="2026-02-16T00:00:00"/>
    <s v="NV Chi"/>
    <s v="Kho không hoạt động"/>
    <n v="97"/>
    <s v="Khách hàng 040"/>
    <x v="1"/>
    <x v="0"/>
    <s v="Active"/>
    <x v="33"/>
    <s v="CAT05"/>
    <x v="2"/>
    <n v="350000"/>
    <n v="437000"/>
    <s v="Active"/>
    <s v="A"/>
    <s v="Kho cũ - ngừng dùng"/>
    <s v="Miền Bắc"/>
    <x v="5"/>
    <n v="0"/>
    <n v="0"/>
    <n v="0"/>
    <b v="1"/>
    <b v="1"/>
    <n v="0"/>
    <n v="2"/>
    <b v="1"/>
    <b v="0"/>
    <n v="0"/>
    <n v="0"/>
    <n v="0"/>
    <n v="3"/>
    <n v="0"/>
    <n v="1"/>
    <n v="0"/>
    <n v="0"/>
  </r>
  <r>
    <d v="2026-04-25T00:00:00"/>
    <s v="SO2604-0060"/>
    <n v="2"/>
    <s v="KH020"/>
    <s v="VT031"/>
    <s v="WH_DA"/>
    <n v="24"/>
    <n v="24"/>
    <n v="2304000"/>
    <n v="0.05"/>
    <s v="Completed"/>
    <d v="2026-04-28T00:00:00"/>
    <d v="2026-05-05T00:00:00"/>
    <s v="NV Dũng"/>
    <m/>
    <n v="98"/>
    <s v="Khách hàng 020"/>
    <x v="1"/>
    <x v="0"/>
    <s v="Active"/>
    <x v="30"/>
    <s v="CAT01"/>
    <x v="5"/>
    <n v="1800000"/>
    <n v="2304000"/>
    <s v="Active"/>
    <s v="C"/>
    <s v="Kho Đông Anh"/>
    <s v="Miền Bắc"/>
    <x v="4"/>
    <n v="52531200"/>
    <n v="43200000"/>
    <n v="9331200"/>
    <b v="1"/>
    <b v="1"/>
    <n v="0"/>
    <n v="7"/>
    <b v="1"/>
    <b v="0"/>
    <n v="52531200"/>
    <n v="9331200"/>
    <n v="24"/>
    <n v="24"/>
    <n v="0"/>
    <n v="1"/>
    <n v="0"/>
    <n v="9331200"/>
  </r>
  <r>
    <d v="2026-05-09T00:00:00"/>
    <s v="SO2605-0136"/>
    <n v="4"/>
    <s v="KH011"/>
    <s v="VT013"/>
    <s v="WH_DA"/>
    <n v="17"/>
    <n v="17"/>
    <n v="614000"/>
    <n v="0.08"/>
    <s v="Completed"/>
    <d v="2026-05-10T00:00:00"/>
    <d v="2026-05-13T00:00:00"/>
    <s v="NV An"/>
    <m/>
    <n v="99"/>
    <s v="Khách hàng 011"/>
    <x v="0"/>
    <x v="2"/>
    <s v="Active"/>
    <x v="12"/>
    <s v="CAT01"/>
    <x v="5"/>
    <n v="480000"/>
    <n v="614000"/>
    <s v="Active"/>
    <s v="B"/>
    <s v="Kho Đông Anh"/>
    <s v="Miền Bắc"/>
    <x v="1"/>
    <n v="9602960"/>
    <n v="8160000"/>
    <n v="1442960"/>
    <b v="1"/>
    <b v="1"/>
    <n v="0"/>
    <n v="3"/>
    <b v="1"/>
    <b v="0"/>
    <n v="9602960"/>
    <n v="1442960"/>
    <n v="17"/>
    <n v="17"/>
    <n v="0"/>
    <n v="1"/>
    <n v="0"/>
    <n v="1442960"/>
  </r>
  <r>
    <d v="2026-03-14T00:00:00"/>
    <s v="SO2603-0022"/>
    <n v="2"/>
    <s v="KH018"/>
    <s v="VT029"/>
    <s v="WH_DA"/>
    <n v="28"/>
    <n v="28"/>
    <n v="1125000"/>
    <n v="0.02"/>
    <s v="Completed"/>
    <d v="2026-03-15T00:00:00"/>
    <d v="2026-03-16T00:00:00"/>
    <s v="NV An"/>
    <m/>
    <n v="100"/>
    <s v="Khách hàng 018"/>
    <x v="0"/>
    <x v="2"/>
    <s v="Active"/>
    <x v="15"/>
    <s v="CAT05"/>
    <x v="2"/>
    <n v="900000"/>
    <n v="1125000"/>
    <s v="Active"/>
    <s v="A"/>
    <s v="Kho Đông Anh"/>
    <s v="Miền Bắc"/>
    <x v="0"/>
    <n v="30870000"/>
    <n v="25200000"/>
    <n v="5670000"/>
    <b v="1"/>
    <b v="1"/>
    <n v="0"/>
    <n v="1"/>
    <b v="1"/>
    <b v="0"/>
    <n v="30870000"/>
    <n v="5670000"/>
    <n v="28"/>
    <n v="28"/>
    <n v="0"/>
    <n v="1"/>
    <n v="0"/>
    <n v="5670000"/>
  </r>
  <r>
    <d v="2026-04-12T00:00:00"/>
    <s v="SO2604-0129"/>
    <n v="3"/>
    <s v="KH016"/>
    <s v="VT025"/>
    <s v="WH_HN"/>
    <n v="24"/>
    <n v="24"/>
    <n v="2304000"/>
    <n v="0.1"/>
    <s v="Completed"/>
    <d v="2026-04-22T00:00:00"/>
    <d v="2026-04-22T00:00:00"/>
    <s v="NV Bình"/>
    <m/>
    <n v="101"/>
    <s v="Khách hàng 016"/>
    <x v="0"/>
    <x v="1"/>
    <s v="Active"/>
    <x v="10"/>
    <s v="CAT01"/>
    <x v="5"/>
    <n v="1800000"/>
    <n v="2304000"/>
    <s v="Active"/>
    <s v="B"/>
    <s v="Kho Hà Nội"/>
    <s v="Miền Bắc"/>
    <x v="4"/>
    <n v="49766400"/>
    <n v="43200000"/>
    <n v="6566400"/>
    <b v="1"/>
    <b v="1"/>
    <n v="1"/>
    <n v="0"/>
    <b v="1"/>
    <b v="0"/>
    <n v="49766400"/>
    <n v="6566400"/>
    <n v="24"/>
    <n v="24"/>
    <n v="1"/>
    <n v="1"/>
    <n v="0"/>
    <n v="6566400"/>
  </r>
  <r>
    <d v="2026-02-05T00:00:00"/>
    <s v="SO2602-0010"/>
    <n v="3"/>
    <s v="KH031"/>
    <s v="VT009"/>
    <s v="WH_HCM"/>
    <n v="29"/>
    <n v="29"/>
    <n v="566000"/>
    <n v="0.02"/>
    <s v="Completed"/>
    <d v="2026-02-07T00:00:00"/>
    <d v="2026-02-14T00:00:00"/>
    <s v="NV Bình"/>
    <m/>
    <n v="102"/>
    <s v="Khách hàng 031"/>
    <x v="0"/>
    <x v="1"/>
    <s v="Inactive"/>
    <x v="35"/>
    <s v="CAT03"/>
    <x v="4"/>
    <n v="480000"/>
    <n v="566000"/>
    <s v="Active"/>
    <s v="A"/>
    <s v="Kho HCM"/>
    <s v="Miền Nam"/>
    <x v="5"/>
    <n v="16085720"/>
    <n v="13920000"/>
    <n v="2165720"/>
    <b v="1"/>
    <b v="1"/>
    <n v="0"/>
    <n v="7"/>
    <b v="1"/>
    <b v="0"/>
    <n v="16085720"/>
    <n v="2165720"/>
    <n v="29"/>
    <n v="29"/>
    <n v="0"/>
    <n v="1"/>
    <n v="0"/>
    <n v="2165720"/>
  </r>
  <r>
    <d v="2026-05-21T00:00:00"/>
    <s v="SO2605-0136"/>
    <n v="4"/>
    <s v="KH008"/>
    <s v="VT019"/>
    <s v="WH_DA"/>
    <n v="20"/>
    <n v="20"/>
    <n v="1152000"/>
    <n v="0.1"/>
    <s v="Completed"/>
    <d v="2026-05-28T00:00:00"/>
    <d v="2026-05-29T00:00:00"/>
    <s v="NV An"/>
    <m/>
    <n v="103"/>
    <s v="Khách hàng 008"/>
    <x v="1"/>
    <x v="2"/>
    <s v="Active"/>
    <x v="27"/>
    <s v="CAT01"/>
    <x v="5"/>
    <n v="900000"/>
    <n v="1152000"/>
    <s v="Active"/>
    <s v="C"/>
    <s v="Kho Đông Anh"/>
    <s v="Miền Bắc"/>
    <x v="1"/>
    <n v="20736000"/>
    <n v="18000000"/>
    <n v="2736000"/>
    <b v="1"/>
    <b v="1"/>
    <n v="0"/>
    <n v="1"/>
    <b v="1"/>
    <b v="0"/>
    <n v="20736000"/>
    <n v="2736000"/>
    <n v="20"/>
    <n v="20"/>
    <n v="0"/>
    <n v="1"/>
    <n v="0"/>
    <n v="2736000"/>
  </r>
  <r>
    <d v="2026-01-29T00:00:00"/>
    <s v="SO2601-0128"/>
    <n v="1"/>
    <s v="KH033"/>
    <s v="VT016"/>
    <s v="WH_DA"/>
    <n v="19"/>
    <n v="19"/>
    <n v="845000"/>
    <n v="0"/>
    <s v="Completed"/>
    <d v="2026-02-05T00:00:00"/>
    <d v="2026-02-06T00:00:00"/>
    <s v="NV Bình"/>
    <m/>
    <n v="104"/>
    <s v="Khách hàng 033"/>
    <x v="1"/>
    <x v="1"/>
    <s v="Active"/>
    <x v="13"/>
    <s v="CAT04"/>
    <x v="0"/>
    <n v="650000"/>
    <n v="845000"/>
    <s v="Active"/>
    <s v="C"/>
    <s v="Kho Đông Anh"/>
    <s v="Miền Bắc"/>
    <x v="2"/>
    <n v="16055000"/>
    <n v="12350000"/>
    <n v="3705000"/>
    <b v="1"/>
    <b v="1"/>
    <n v="0"/>
    <n v="1"/>
    <b v="1"/>
    <b v="0"/>
    <n v="16055000"/>
    <n v="3705000"/>
    <n v="19"/>
    <n v="19"/>
    <n v="0"/>
    <n v="1"/>
    <n v="0"/>
    <n v="3705000"/>
  </r>
  <r>
    <d v="2026-06-20T00:00:00"/>
    <s v="SO2606-0022"/>
    <n v="3"/>
    <s v="KH005"/>
    <s v="VT034"/>
    <s v="WH_HN"/>
    <n v="25"/>
    <n v="0"/>
    <n v="234000"/>
    <n v="0"/>
    <s v="Cancelled"/>
    <d v="2026-06-30T00:00:00"/>
    <m/>
    <s v="NV Dũng"/>
    <m/>
    <n v="105"/>
    <s v="Khách hàng 005"/>
    <x v="0"/>
    <x v="3"/>
    <s v="Active"/>
    <x v="22"/>
    <s v="CAT04"/>
    <x v="0"/>
    <n v="180000"/>
    <n v="234000"/>
    <s v="Active"/>
    <s v="A"/>
    <s v="Kho Hà Nội"/>
    <s v="Miền Bắc"/>
    <x v="3"/>
    <n v="0"/>
    <m/>
    <n v="0"/>
    <b v="1"/>
    <b v="0"/>
    <m/>
    <m/>
    <b v="0"/>
    <b v="0"/>
    <n v="0"/>
    <n v="0"/>
    <n v="0"/>
    <n v="0"/>
    <n v="0"/>
    <n v="0"/>
    <n v="0"/>
    <n v="0"/>
  </r>
  <r>
    <d v="2026-04-06T00:00:00"/>
    <s v="SO2604-0065"/>
    <n v="1"/>
    <s v="KH023"/>
    <s v="VT005"/>
    <s v="WH_DN"/>
    <n v="16"/>
    <n v="3"/>
    <n v="150000"/>
    <n v="0.08"/>
    <s v="Open"/>
    <d v="2026-04-16T00:00:00"/>
    <m/>
    <s v="NV Chi"/>
    <m/>
    <n v="106"/>
    <s v="Khách hàng 023"/>
    <x v="1"/>
    <x v="3"/>
    <s v="Active"/>
    <x v="2"/>
    <s v="CAT05"/>
    <x v="2"/>
    <n v="120000"/>
    <n v="150000"/>
    <s v="Active"/>
    <s v="A"/>
    <s v="Kho Đà Nẵng"/>
    <s v="Miền Trung"/>
    <x v="4"/>
    <n v="414000"/>
    <n v="360000"/>
    <n v="54000"/>
    <b v="1"/>
    <b v="0"/>
    <m/>
    <m/>
    <b v="1"/>
    <b v="0"/>
    <n v="414000"/>
    <n v="54000"/>
    <n v="3"/>
    <n v="16"/>
    <n v="0"/>
    <n v="0"/>
    <n v="0"/>
    <n v="54000"/>
  </r>
  <r>
    <d v="2026-02-04T00:00:00"/>
    <s v="SO2602-0012"/>
    <n v="3"/>
    <s v="KH035"/>
    <s v="VT022"/>
    <s v="WH_DA"/>
    <n v="-8"/>
    <n v="-8"/>
    <n v="234000"/>
    <n v="0.1"/>
    <s v="Return"/>
    <d v="2026-02-06T00:00:00"/>
    <d v="2026-02-13T00:00:00"/>
    <s v="NV Bình"/>
    <m/>
    <n v="107"/>
    <s v="Khách hàng 035"/>
    <x v="1"/>
    <x v="1"/>
    <s v="Active"/>
    <x v="28"/>
    <s v="CAT04"/>
    <x v="0"/>
    <n v="180000"/>
    <n v="234000"/>
    <s v="Active"/>
    <s v="A"/>
    <s v="Kho Đông Anh"/>
    <s v="Miền Bắc"/>
    <x v="5"/>
    <n v="-1684800"/>
    <n v="-1440000"/>
    <n v="-244800"/>
    <b v="1"/>
    <b v="1"/>
    <n v="0"/>
    <n v="7"/>
    <b v="0"/>
    <b v="1"/>
    <n v="-1684800"/>
    <n v="-244800"/>
    <n v="0"/>
    <n v="0"/>
    <n v="0"/>
    <n v="1"/>
    <n v="-1684800"/>
    <n v="-244800"/>
  </r>
  <r>
    <d v="2026-01-17T00:00:00"/>
    <s v="SO2601-0118"/>
    <n v="1"/>
    <s v="KH019"/>
    <s v="VT013"/>
    <s v="WH_HN"/>
    <n v="13"/>
    <n v="0"/>
    <n v="614000"/>
    <n v="0.02"/>
    <s v="Cancelled"/>
    <d v="2026-01-20T00:00:00"/>
    <m/>
    <s v="NV Dũng"/>
    <m/>
    <n v="108"/>
    <s v="Khách hàng 019"/>
    <x v="2"/>
    <x v="1"/>
    <s v="Active"/>
    <x v="12"/>
    <s v="CAT01"/>
    <x v="5"/>
    <n v="480000"/>
    <n v="614000"/>
    <s v="Active"/>
    <s v="B"/>
    <s v="Kho Hà Nội"/>
    <s v="Miền Bắc"/>
    <x v="2"/>
    <n v="0"/>
    <m/>
    <n v="0"/>
    <b v="1"/>
    <b v="0"/>
    <m/>
    <m/>
    <b v="0"/>
    <b v="0"/>
    <n v="0"/>
    <n v="0"/>
    <n v="0"/>
    <n v="0"/>
    <n v="0"/>
    <n v="0"/>
    <n v="0"/>
    <n v="0"/>
  </r>
  <r>
    <d v="2026-05-20T00:00:00"/>
    <s v="SO2605-0122"/>
    <n v="3"/>
    <s v="KH003"/>
    <s v="VT013"/>
    <s v="WH_DN"/>
    <n v="23"/>
    <n v="0"/>
    <n v="614000"/>
    <n v="0"/>
    <s v="Cancelled"/>
    <d v="2026-05-30T00:00:00"/>
    <m/>
    <s v="NV Chi"/>
    <m/>
    <n v="109"/>
    <s v="Khách hàng 003"/>
    <x v="2"/>
    <x v="2"/>
    <s v="Active"/>
    <x v="12"/>
    <s v="CAT01"/>
    <x v="5"/>
    <n v="480000"/>
    <n v="614000"/>
    <s v="Active"/>
    <s v="B"/>
    <s v="Kho Đà Nẵng"/>
    <s v="Miền Trung"/>
    <x v="1"/>
    <n v="0"/>
    <m/>
    <n v="0"/>
    <b v="1"/>
    <b v="0"/>
    <m/>
    <m/>
    <b v="0"/>
    <b v="0"/>
    <n v="0"/>
    <n v="0"/>
    <n v="0"/>
    <n v="0"/>
    <n v="0"/>
    <n v="0"/>
    <n v="0"/>
    <n v="0"/>
  </r>
  <r>
    <d v="2026-03-11T00:00:00"/>
    <s v="SO2603-0032"/>
    <n v="3"/>
    <s v="KH028"/>
    <s v="VT026"/>
    <s v="WH_HCM"/>
    <n v="25"/>
    <n v="25"/>
    <n v="146000"/>
    <n v="0.1"/>
    <s v="Completed"/>
    <d v="2026-03-16T00:00:00"/>
    <d v="2026-03-16T00:00:00"/>
    <s v="NV Chi"/>
    <m/>
    <n v="110"/>
    <s v="Khách hàng 028"/>
    <x v="1"/>
    <x v="1"/>
    <s v="Active"/>
    <x v="29"/>
    <s v="CAT02"/>
    <x v="3"/>
    <n v="120000"/>
    <n v="146000"/>
    <s v="Active"/>
    <s v="B"/>
    <s v="Kho HCM"/>
    <s v="Miền Nam"/>
    <x v="0"/>
    <n v="3285000"/>
    <n v="3000000"/>
    <n v="285000"/>
    <b v="1"/>
    <b v="1"/>
    <n v="1"/>
    <n v="0"/>
    <b v="1"/>
    <b v="0"/>
    <n v="3285000"/>
    <n v="285000"/>
    <n v="25"/>
    <n v="25"/>
    <n v="1"/>
    <n v="1"/>
    <n v="0"/>
    <n v="285000"/>
  </r>
  <r>
    <d v="2026-01-22T00:00:00"/>
    <s v="SO2601-0109"/>
    <n v="1"/>
    <s v="KH028"/>
    <s v="VT012"/>
    <s v="WH_DN"/>
    <n v="21"/>
    <n v="19"/>
    <n v="1215000"/>
    <n v="0.02"/>
    <s v="Completed"/>
    <d v="2026-01-25T00:00:00"/>
    <d v="2026-01-26T00:00:00"/>
    <s v="NV Dũng"/>
    <m/>
    <n v="111"/>
    <s v="Khách hàng 028"/>
    <x v="1"/>
    <x v="1"/>
    <s v="Active"/>
    <x v="19"/>
    <s v="CAT06"/>
    <x v="1"/>
    <n v="900000"/>
    <n v="1215000"/>
    <s v="Active"/>
    <s v="B"/>
    <s v="Kho Đà Nẵng"/>
    <s v="Miền Trung"/>
    <x v="2"/>
    <n v="22623300"/>
    <n v="17100000"/>
    <n v="5523300"/>
    <b v="1"/>
    <b v="1"/>
    <n v="0"/>
    <n v="1"/>
    <b v="1"/>
    <b v="0"/>
    <n v="22623300"/>
    <n v="5523300"/>
    <n v="19"/>
    <n v="21"/>
    <n v="0"/>
    <n v="1"/>
    <n v="0"/>
    <n v="5523300"/>
  </r>
  <r>
    <d v="2026-02-12T00:00:00"/>
    <s v="SO2602-0114"/>
    <n v="3"/>
    <s v="KH029"/>
    <s v="VT003"/>
    <s v="WH_DN"/>
    <n v="28"/>
    <n v="28"/>
    <n v="212000"/>
    <n v="0.1"/>
    <s v="Completed"/>
    <d v="2026-02-22T00:00:00"/>
    <d v="2026-02-23T00:00:00"/>
    <s v="NV Chi"/>
    <m/>
    <n v="112"/>
    <s v="Khách hàng 029"/>
    <x v="1"/>
    <x v="3"/>
    <s v="Active"/>
    <x v="5"/>
    <s v="CAT03"/>
    <x v="4"/>
    <n v="180000"/>
    <n v="212000"/>
    <s v="Active"/>
    <s v="C"/>
    <s v="Kho Đà Nẵng"/>
    <s v="Miền Trung"/>
    <x v="5"/>
    <n v="5342400"/>
    <n v="5040000"/>
    <n v="302400"/>
    <b v="1"/>
    <b v="1"/>
    <n v="0"/>
    <n v="1"/>
    <b v="1"/>
    <b v="0"/>
    <n v="5342400"/>
    <n v="302400"/>
    <n v="28"/>
    <n v="28"/>
    <n v="0"/>
    <n v="1"/>
    <n v="0"/>
    <n v="302400"/>
  </r>
  <r>
    <d v="2026-05-12T00:00:00"/>
    <s v="SO2605-0041"/>
    <n v="1"/>
    <s v="KH010"/>
    <s v="VT029"/>
    <s v="WH_HN"/>
    <n v="9"/>
    <n v="9"/>
    <n v="1125000"/>
    <n v="0.02"/>
    <s v="Completed"/>
    <d v="2026-05-17T00:00:00"/>
    <d v="2026-05-19T00:00:00"/>
    <s v="NV An"/>
    <m/>
    <n v="113"/>
    <s v="Khách hàng 010"/>
    <x v="0"/>
    <x v="3"/>
    <s v="Active"/>
    <x v="15"/>
    <s v="CAT05"/>
    <x v="2"/>
    <n v="900000"/>
    <n v="1125000"/>
    <s v="Active"/>
    <s v="A"/>
    <s v="Kho Hà Nội"/>
    <s v="Miền Bắc"/>
    <x v="1"/>
    <n v="9922500"/>
    <n v="8100000"/>
    <n v="1822500"/>
    <b v="1"/>
    <b v="1"/>
    <n v="0"/>
    <n v="2"/>
    <b v="1"/>
    <b v="0"/>
    <n v="9922500"/>
    <n v="1822500"/>
    <n v="9"/>
    <n v="9"/>
    <n v="0"/>
    <n v="1"/>
    <n v="0"/>
    <n v="1822500"/>
  </r>
  <r>
    <d v="2026-06-04T00:00:00"/>
    <s v="SO2606-0040"/>
    <n v="4"/>
    <s v="KH024"/>
    <s v="VT024"/>
    <s v="WH_HCM"/>
    <n v="5"/>
    <n v="5"/>
    <n v="1620000"/>
    <n v="0.05"/>
    <s v="Completed"/>
    <d v="2026-06-07T00:00:00"/>
    <d v="2026-06-10T00:00:00"/>
    <s v="NV Chi"/>
    <m/>
    <n v="114"/>
    <s v="Khách hàng 024"/>
    <x v="1"/>
    <x v="3"/>
    <s v="Active"/>
    <x v="26"/>
    <s v="CAT06"/>
    <x v="1"/>
    <n v="1200000"/>
    <n v="1620000"/>
    <s v="Active"/>
    <s v="C"/>
    <s v="Kho HCM"/>
    <s v="Miền Nam"/>
    <x v="3"/>
    <n v="7695000"/>
    <n v="6000000"/>
    <n v="1695000"/>
    <b v="1"/>
    <b v="1"/>
    <n v="0"/>
    <n v="3"/>
    <b v="1"/>
    <b v="0"/>
    <n v="7695000"/>
    <n v="1695000"/>
    <n v="5"/>
    <n v="5"/>
    <n v="0"/>
    <n v="1"/>
    <n v="0"/>
    <n v="1695000"/>
  </r>
  <r>
    <d v="2026-03-05T00:00:00"/>
    <s v="SO2603-0030"/>
    <n v="1"/>
    <s v="KH012"/>
    <s v="VT032"/>
    <s v="WH_HCM"/>
    <n v="8"/>
    <n v="6"/>
    <n v="1098000"/>
    <n v="0.05"/>
    <s v="Completed"/>
    <d v="2026-03-07T00:00:00"/>
    <d v="2026-03-09T00:00:00"/>
    <s v="NV Chi"/>
    <m/>
    <n v="115"/>
    <s v="Khách hàng 012"/>
    <x v="1"/>
    <x v="0"/>
    <s v="Active"/>
    <x v="17"/>
    <s v="CAT02"/>
    <x v="3"/>
    <n v="900000"/>
    <n v="1098000"/>
    <s v="Active"/>
    <s v="B"/>
    <s v="Kho HCM"/>
    <s v="Miền Nam"/>
    <x v="0"/>
    <n v="6258600"/>
    <n v="5400000"/>
    <n v="858600"/>
    <b v="1"/>
    <b v="1"/>
    <n v="0"/>
    <n v="2"/>
    <b v="1"/>
    <b v="0"/>
    <n v="6258600"/>
    <n v="858600"/>
    <n v="6"/>
    <n v="8"/>
    <n v="0"/>
    <n v="1"/>
    <n v="0"/>
    <n v="858600"/>
  </r>
  <r>
    <d v="2026-06-27T00:00:00"/>
    <s v="SO2606-0126"/>
    <n v="2"/>
    <s v="KH008"/>
    <s v="VT009"/>
    <s v="WH_HN"/>
    <n v="29"/>
    <n v="29"/>
    <n v="566000"/>
    <n v="0"/>
    <s v="Completed"/>
    <d v="2026-07-07T00:00:00"/>
    <d v="2026-07-14T00:00:00"/>
    <s v="NV Chi"/>
    <m/>
    <n v="116"/>
    <s v="Khách hàng 008"/>
    <x v="1"/>
    <x v="2"/>
    <s v="Active"/>
    <x v="35"/>
    <s v="CAT03"/>
    <x v="4"/>
    <n v="480000"/>
    <n v="566000"/>
    <s v="Active"/>
    <s v="A"/>
    <s v="Kho Hà Nội"/>
    <s v="Miền Bắc"/>
    <x v="3"/>
    <n v="16414000"/>
    <n v="13920000"/>
    <n v="2494000"/>
    <b v="1"/>
    <b v="1"/>
    <n v="0"/>
    <n v="7"/>
    <b v="1"/>
    <b v="0"/>
    <n v="16414000"/>
    <n v="2494000"/>
    <n v="29"/>
    <n v="29"/>
    <n v="0"/>
    <n v="1"/>
    <n v="0"/>
    <n v="2494000"/>
  </r>
  <r>
    <d v="2026-06-20T00:00:00"/>
    <s v="SO2606-0089"/>
    <n v="1"/>
    <s v="KH036"/>
    <s v="VT035"/>
    <s v="WH_DN"/>
    <n v="20"/>
    <n v="0"/>
    <n v="312000"/>
    <n v="0.1"/>
    <s v="Cancelled"/>
    <d v="2026-06-30T00:00:00"/>
    <m/>
    <s v="NV Bình"/>
    <m/>
    <n v="117"/>
    <s v="Khách hàng 036"/>
    <x v="0"/>
    <x v="0"/>
    <s v="Active"/>
    <x v="18"/>
    <s v="CAT05"/>
    <x v="2"/>
    <n v="250000"/>
    <n v="312000"/>
    <s v="Discontinued"/>
    <s v="C"/>
    <s v="Kho Đà Nẵng"/>
    <s v="Miền Trung"/>
    <x v="3"/>
    <n v="0"/>
    <m/>
    <n v="0"/>
    <b v="1"/>
    <b v="0"/>
    <m/>
    <m/>
    <b v="0"/>
    <b v="0"/>
    <n v="0"/>
    <n v="0"/>
    <n v="0"/>
    <n v="0"/>
    <n v="0"/>
    <n v="0"/>
    <n v="0"/>
    <n v="0"/>
  </r>
  <r>
    <d v="2026-04-03T00:00:00"/>
    <s v="SO2604-0131"/>
    <n v="2"/>
    <s v="KH008"/>
    <s v="VT013"/>
    <s v="WH_DA"/>
    <n v="16"/>
    <n v="0"/>
    <n v="614000"/>
    <n v="0.02"/>
    <s v="Open"/>
    <d v="2026-04-10T00:00:00"/>
    <m/>
    <s v="NV Chi"/>
    <m/>
    <n v="118"/>
    <s v="Khách hàng 008"/>
    <x v="1"/>
    <x v="2"/>
    <s v="Active"/>
    <x v="12"/>
    <s v="CAT01"/>
    <x v="5"/>
    <n v="480000"/>
    <n v="614000"/>
    <s v="Active"/>
    <s v="B"/>
    <s v="Kho Đông Anh"/>
    <s v="Miền Bắc"/>
    <x v="4"/>
    <n v="0"/>
    <n v="0"/>
    <n v="0"/>
    <b v="1"/>
    <b v="0"/>
    <m/>
    <m/>
    <b v="1"/>
    <b v="0"/>
    <n v="0"/>
    <n v="0"/>
    <n v="0"/>
    <n v="16"/>
    <n v="0"/>
    <n v="0"/>
    <n v="0"/>
    <n v="0"/>
  </r>
  <r>
    <d v="2026-04-30T00:00:00"/>
    <s v="SO2604-0142"/>
    <n v="2"/>
    <s v="KH040"/>
    <s v="VT006"/>
    <s v="WH_HN"/>
    <n v="20"/>
    <n v="17"/>
    <n v="2430000"/>
    <n v="0.05"/>
    <s v="Completed"/>
    <d v="2026-05-07T00:00:00"/>
    <d v="2026-05-08T00:00:00"/>
    <s v="NV Dũng"/>
    <m/>
    <n v="119"/>
    <s v="Khách hàng 040"/>
    <x v="1"/>
    <x v="0"/>
    <s v="Active"/>
    <x v="1"/>
    <s v="CAT06"/>
    <x v="1"/>
    <n v="1800000"/>
    <n v="2430000"/>
    <s v="Active"/>
    <s v="C"/>
    <s v="Kho Hà Nội"/>
    <s v="Miền Bắc"/>
    <x v="4"/>
    <n v="39244500"/>
    <n v="30600000"/>
    <n v="8644500"/>
    <b v="1"/>
    <b v="1"/>
    <n v="0"/>
    <n v="1"/>
    <b v="1"/>
    <b v="0"/>
    <n v="39244500"/>
    <n v="8644500"/>
    <n v="17"/>
    <n v="20"/>
    <n v="0"/>
    <n v="1"/>
    <n v="0"/>
    <n v="8644500"/>
  </r>
  <r>
    <d v="2026-05-28T00:00:00"/>
    <s v="SO2605-0019"/>
    <n v="2"/>
    <s v="KH021"/>
    <s v="VT005"/>
    <s v="WH_HCM"/>
    <n v="30"/>
    <n v="30"/>
    <n v="150000"/>
    <n v="0.08"/>
    <s v="Completed"/>
    <d v="2026-06-07T00:00:00"/>
    <d v="2026-06-09T00:00:00"/>
    <s v="NV Bình"/>
    <m/>
    <n v="120"/>
    <s v="Khách hàng 021"/>
    <x v="0"/>
    <x v="3"/>
    <s v="Active"/>
    <x v="2"/>
    <s v="CAT05"/>
    <x v="2"/>
    <n v="120000"/>
    <n v="150000"/>
    <s v="Active"/>
    <s v="A"/>
    <s v="Kho HCM"/>
    <s v="Miền Nam"/>
    <x v="1"/>
    <n v="4140000"/>
    <n v="3600000"/>
    <n v="540000"/>
    <b v="1"/>
    <b v="1"/>
    <n v="0"/>
    <n v="2"/>
    <b v="1"/>
    <b v="0"/>
    <n v="4140000"/>
    <n v="540000"/>
    <n v="30"/>
    <n v="30"/>
    <n v="0"/>
    <n v="1"/>
    <n v="0"/>
    <n v="540000"/>
  </r>
  <r>
    <d v="2026-02-03T00:00:00"/>
    <s v="SO2602-0111"/>
    <n v="1"/>
    <s v="KH008"/>
    <s v="VT034"/>
    <s v="WH_DA"/>
    <n v="20"/>
    <n v="18"/>
    <n v="234000"/>
    <n v="0"/>
    <s v="Completed"/>
    <d v="2026-02-06T00:00:00"/>
    <d v="2026-02-08T00:00:00"/>
    <s v="NV Chi"/>
    <m/>
    <n v="121"/>
    <s v="Khách hàng 008"/>
    <x v="1"/>
    <x v="2"/>
    <s v="Active"/>
    <x v="22"/>
    <s v="CAT04"/>
    <x v="0"/>
    <n v="180000"/>
    <n v="234000"/>
    <s v="Active"/>
    <s v="A"/>
    <s v="Kho Đông Anh"/>
    <s v="Miền Bắc"/>
    <x v="5"/>
    <n v="4212000"/>
    <n v="3240000"/>
    <n v="972000"/>
    <b v="1"/>
    <b v="1"/>
    <n v="0"/>
    <n v="2"/>
    <b v="1"/>
    <b v="0"/>
    <n v="4212000"/>
    <n v="972000"/>
    <n v="18"/>
    <n v="20"/>
    <n v="0"/>
    <n v="1"/>
    <n v="0"/>
    <n v="972000"/>
  </r>
  <r>
    <d v="2026-01-21T00:00:00"/>
    <s v="SO2601-0065"/>
    <n v="2"/>
    <s v="KH036"/>
    <s v="VT018"/>
    <s v="WH_DA"/>
    <n v="20"/>
    <n v="19"/>
    <n v="648000"/>
    <n v="0.1"/>
    <s v="Completed"/>
    <d v="2026-01-23T00:00:00"/>
    <d v="2026-01-25T00:00:00"/>
    <s v="NV Bình"/>
    <m/>
    <n v="122"/>
    <s v="Khách hàng 036"/>
    <x v="0"/>
    <x v="0"/>
    <s v="Active"/>
    <x v="6"/>
    <s v="CAT06"/>
    <x v="1"/>
    <n v="480000"/>
    <n v="648000"/>
    <s v="Active"/>
    <s v="A"/>
    <s v="Kho Đông Anh"/>
    <s v="Miền Bắc"/>
    <x v="2"/>
    <n v="11080800"/>
    <n v="9120000"/>
    <n v="1960800"/>
    <b v="1"/>
    <b v="1"/>
    <n v="0"/>
    <n v="2"/>
    <b v="1"/>
    <b v="0"/>
    <n v="11080800"/>
    <n v="1960800"/>
    <n v="19"/>
    <n v="20"/>
    <n v="0"/>
    <n v="1"/>
    <n v="0"/>
    <n v="1960800"/>
  </r>
  <r>
    <d v="2026-02-13T00:00:00"/>
    <s v="SO2602-0087"/>
    <n v="1"/>
    <s v="KH002"/>
    <s v="VT006"/>
    <s v="WH_HN"/>
    <n v="17"/>
    <n v="17"/>
    <n v="2430000"/>
    <n v="0.08"/>
    <s v="Completed"/>
    <d v="2026-02-23T00:00:00"/>
    <d v="2026-02-22T00:00:00"/>
    <s v="NV Dũng"/>
    <m/>
    <n v="123"/>
    <s v="Khách hàng 002"/>
    <x v="2"/>
    <x v="3"/>
    <s v="Active"/>
    <x v="1"/>
    <s v="CAT06"/>
    <x v="1"/>
    <n v="1800000"/>
    <n v="2430000"/>
    <s v="Active"/>
    <s v="C"/>
    <s v="Kho Hà Nội"/>
    <s v="Miền Bắc"/>
    <x v="5"/>
    <n v="38005200"/>
    <n v="30600000"/>
    <n v="7405200"/>
    <b v="1"/>
    <b v="1"/>
    <n v="1"/>
    <n v="-1"/>
    <b v="1"/>
    <b v="0"/>
    <n v="38005200"/>
    <n v="7405200"/>
    <n v="17"/>
    <n v="17"/>
    <n v="1"/>
    <n v="1"/>
    <n v="0"/>
    <n v="7405200"/>
  </r>
  <r>
    <d v="2026-06-10T00:00:00"/>
    <s v="SO2606-0140"/>
    <n v="3"/>
    <s v="KH020"/>
    <s v="VT031"/>
    <s v="WH_DA"/>
    <n v="26"/>
    <n v="25"/>
    <n v="2304000"/>
    <n v="0"/>
    <s v="Completed"/>
    <d v="2026-06-12T00:00:00"/>
    <d v="2026-06-13T00:00:00"/>
    <s v="NV Dũng"/>
    <m/>
    <n v="124"/>
    <s v="Khách hàng 020"/>
    <x v="1"/>
    <x v="0"/>
    <s v="Active"/>
    <x v="30"/>
    <s v="CAT01"/>
    <x v="5"/>
    <n v="1800000"/>
    <n v="2304000"/>
    <s v="Active"/>
    <s v="C"/>
    <s v="Kho Đông Anh"/>
    <s v="Miền Bắc"/>
    <x v="3"/>
    <n v="57600000"/>
    <n v="45000000"/>
    <n v="12600000"/>
    <b v="1"/>
    <b v="1"/>
    <n v="0"/>
    <n v="1"/>
    <b v="1"/>
    <b v="0"/>
    <n v="57600000"/>
    <n v="12600000"/>
    <n v="25"/>
    <n v="26"/>
    <n v="0"/>
    <n v="1"/>
    <n v="0"/>
    <n v="12600000"/>
  </r>
  <r>
    <d v="2026-05-04T00:00:00"/>
    <s v="SO2605-0119"/>
    <n v="2"/>
    <s v="KH022"/>
    <s v="VT010"/>
    <s v="WH_DN"/>
    <n v="21"/>
    <n v="11"/>
    <n v="1170000"/>
    <n v="0.05"/>
    <s v="Open"/>
    <d v="2026-05-06T00:00:00"/>
    <m/>
    <s v="NV Chi"/>
    <m/>
    <n v="125"/>
    <s v="Khách hàng 022"/>
    <x v="2"/>
    <x v="0"/>
    <s v="Active"/>
    <x v="0"/>
    <s v="CAT04"/>
    <x v="0"/>
    <n v="900000"/>
    <n v="1170000"/>
    <s v="Active"/>
    <s v="A"/>
    <s v="Kho Đà Nẵng"/>
    <s v="Miền Trung"/>
    <x v="1"/>
    <n v="12226500"/>
    <n v="9900000"/>
    <n v="2326500"/>
    <b v="1"/>
    <b v="0"/>
    <m/>
    <m/>
    <b v="1"/>
    <b v="0"/>
    <n v="12226500"/>
    <n v="2326500"/>
    <n v="11"/>
    <n v="21"/>
    <n v="0"/>
    <n v="0"/>
    <n v="0"/>
    <n v="2326500"/>
  </r>
  <r>
    <d v="2026-05-12T00:00:00"/>
    <s v="SO2605-0144"/>
    <n v="1"/>
    <s v="KH021"/>
    <s v="VT016"/>
    <s v="WH_HCM"/>
    <n v="8"/>
    <n v="8"/>
    <n v="845000"/>
    <n v="0"/>
    <s v="Completed"/>
    <d v="2026-05-13T00:00:00"/>
    <d v="2026-05-13T00:00:00"/>
    <s v="NV Dũng"/>
    <m/>
    <n v="126"/>
    <s v="Khách hàng 021"/>
    <x v="0"/>
    <x v="3"/>
    <s v="Active"/>
    <x v="13"/>
    <s v="CAT04"/>
    <x v="0"/>
    <n v="650000"/>
    <n v="845000"/>
    <s v="Active"/>
    <s v="C"/>
    <s v="Kho HCM"/>
    <s v="Miền Nam"/>
    <x v="1"/>
    <n v="6760000"/>
    <n v="5200000"/>
    <n v="1560000"/>
    <b v="1"/>
    <b v="1"/>
    <n v="1"/>
    <n v="0"/>
    <b v="1"/>
    <b v="0"/>
    <n v="6760000"/>
    <n v="1560000"/>
    <n v="8"/>
    <n v="8"/>
    <n v="1"/>
    <n v="1"/>
    <n v="0"/>
    <n v="1560000"/>
  </r>
  <r>
    <d v="2026-06-07T00:00:00"/>
    <s v="SO2606-0108"/>
    <n v="2"/>
    <s v="KH011"/>
    <s v="VT021"/>
    <s v="WH_DN"/>
    <n v="13"/>
    <n v="7"/>
    <n v="413000"/>
    <n v="0.08"/>
    <s v="Open"/>
    <d v="2026-06-12T00:00:00"/>
    <m/>
    <s v="NV Dũng"/>
    <m/>
    <n v="127"/>
    <s v="Khách hàng 011"/>
    <x v="0"/>
    <x v="2"/>
    <s v="Active"/>
    <x v="9"/>
    <s v="CAT03"/>
    <x v="4"/>
    <n v="350000"/>
    <n v="413000"/>
    <s v="Discontinued"/>
    <s v="C"/>
    <s v="Kho Đà Nẵng"/>
    <s v="Miền Trung"/>
    <x v="3"/>
    <n v="2659720"/>
    <n v="2450000"/>
    <n v="209720"/>
    <b v="1"/>
    <b v="0"/>
    <m/>
    <m/>
    <b v="1"/>
    <b v="0"/>
    <n v="2659720"/>
    <n v="209720"/>
    <n v="7"/>
    <n v="13"/>
    <n v="0"/>
    <n v="0"/>
    <n v="0"/>
    <n v="209720"/>
  </r>
  <r>
    <d v="2026-03-20T00:00:00"/>
    <s v="SO2603-0128"/>
    <n v="1"/>
    <s v="KH006"/>
    <s v="VT026"/>
    <s v="WH_HCM"/>
    <n v="16"/>
    <n v="16"/>
    <n v="146000"/>
    <n v="0"/>
    <s v="Completed"/>
    <d v="2026-03-23T00:00:00"/>
    <d v="2026-03-24T00:00:00"/>
    <s v="NV Dũng"/>
    <m/>
    <n v="128"/>
    <s v="Khách hàng 006"/>
    <x v="2"/>
    <x v="0"/>
    <s v="Active"/>
    <x v="29"/>
    <s v="CAT02"/>
    <x v="3"/>
    <n v="120000"/>
    <n v="146000"/>
    <s v="Active"/>
    <s v="B"/>
    <s v="Kho HCM"/>
    <s v="Miền Nam"/>
    <x v="0"/>
    <n v="2336000"/>
    <n v="1920000"/>
    <n v="416000"/>
    <b v="1"/>
    <b v="1"/>
    <n v="0"/>
    <n v="1"/>
    <b v="1"/>
    <b v="0"/>
    <n v="2336000"/>
    <n v="416000"/>
    <n v="16"/>
    <n v="16"/>
    <n v="0"/>
    <n v="1"/>
    <n v="0"/>
    <n v="416000"/>
  </r>
  <r>
    <d v="2026-03-15T00:00:00"/>
    <s v="SO2603-0138"/>
    <n v="1"/>
    <s v="KH007"/>
    <s v="VT028"/>
    <s v="WH_DA"/>
    <n v="17"/>
    <n v="12"/>
    <n v="845000"/>
    <n v="0.02"/>
    <s v="Open"/>
    <d v="2026-03-16T00:00:00"/>
    <m/>
    <s v="NV Dũng"/>
    <m/>
    <n v="129"/>
    <s v="Khách hàng 007"/>
    <x v="2"/>
    <x v="2"/>
    <s v="Active"/>
    <x v="8"/>
    <s v="CAT04"/>
    <x v="0"/>
    <n v="650000"/>
    <n v="845000"/>
    <s v="Active"/>
    <s v="B"/>
    <s v="Kho Đông Anh"/>
    <s v="Miền Bắc"/>
    <x v="0"/>
    <n v="9937200"/>
    <n v="7800000"/>
    <n v="2137200"/>
    <b v="1"/>
    <b v="0"/>
    <m/>
    <m/>
    <b v="1"/>
    <b v="0"/>
    <n v="9937200"/>
    <n v="2137200"/>
    <n v="12"/>
    <n v="17"/>
    <n v="0"/>
    <n v="0"/>
    <n v="0"/>
    <n v="2137200"/>
  </r>
  <r>
    <d v="2026-01-14T00:00:00"/>
    <s v="SO2601-0144"/>
    <n v="2"/>
    <s v="KH024"/>
    <s v="VT036"/>
    <s v="WH_DN"/>
    <n v="5"/>
    <n v="3"/>
    <n v="243000"/>
    <n v="0.02"/>
    <s v="Completed"/>
    <d v="2026-01-21T00:00:00"/>
    <d v="2026-01-24T00:00:00"/>
    <s v="NV An"/>
    <m/>
    <n v="130"/>
    <s v="Khách hàng 024"/>
    <x v="1"/>
    <x v="3"/>
    <s v="Active"/>
    <x v="14"/>
    <s v="CAT06"/>
    <x v="1"/>
    <n v="180000"/>
    <n v="243000"/>
    <s v="Active"/>
    <s v="C"/>
    <s v="Kho Đà Nẵng"/>
    <s v="Miền Trung"/>
    <x v="2"/>
    <n v="714420"/>
    <n v="540000"/>
    <n v="174420"/>
    <b v="1"/>
    <b v="1"/>
    <n v="0"/>
    <n v="3"/>
    <b v="1"/>
    <b v="0"/>
    <n v="714420"/>
    <n v="174420"/>
    <n v="3"/>
    <n v="5"/>
    <n v="0"/>
    <n v="1"/>
    <n v="0"/>
    <n v="174420"/>
  </r>
  <r>
    <d v="2026-02-02T00:00:00"/>
    <s v="SO2602-0025"/>
    <n v="4"/>
    <s v="KH024"/>
    <s v="VT022"/>
    <s v="WH_DN"/>
    <n v="10"/>
    <n v="10"/>
    <n v="234000"/>
    <n v="0.08"/>
    <s v="Completed"/>
    <d v="2026-02-03T00:00:00"/>
    <d v="2026-02-02T00:00:00"/>
    <s v="NV An"/>
    <m/>
    <n v="131"/>
    <s v="Khách hàng 024"/>
    <x v="1"/>
    <x v="3"/>
    <s v="Active"/>
    <x v="28"/>
    <s v="CAT04"/>
    <x v="0"/>
    <n v="180000"/>
    <n v="234000"/>
    <s v="Active"/>
    <s v="A"/>
    <s v="Kho Đà Nẵng"/>
    <s v="Miền Trung"/>
    <x v="5"/>
    <n v="2152800"/>
    <n v="1800000"/>
    <n v="352800"/>
    <b v="1"/>
    <b v="1"/>
    <n v="1"/>
    <n v="-1"/>
    <b v="1"/>
    <b v="0"/>
    <n v="2152800"/>
    <n v="352800"/>
    <n v="10"/>
    <n v="10"/>
    <n v="1"/>
    <n v="1"/>
    <n v="0"/>
    <n v="352800"/>
  </r>
  <r>
    <d v="2026-02-05T00:00:00"/>
    <s v="SO2602-0086"/>
    <n v="4"/>
    <s v="KH034"/>
    <s v="VT030"/>
    <s v="WH_DA"/>
    <n v="33"/>
    <n v="33"/>
    <n v="648000"/>
    <n v="0"/>
    <s v="Completed"/>
    <d v="2026-02-10T00:00:00"/>
    <d v="2026-02-12T00:00:00"/>
    <s v="NV Chi"/>
    <m/>
    <n v="132"/>
    <s v="Khách hàng 034"/>
    <x v="1"/>
    <x v="0"/>
    <s v="Active"/>
    <x v="21"/>
    <s v="CAT06"/>
    <x v="1"/>
    <n v="480000"/>
    <n v="648000"/>
    <s v="Active"/>
    <s v="C"/>
    <s v="Kho Đông Anh"/>
    <s v="Miền Bắc"/>
    <x v="5"/>
    <n v="21384000"/>
    <n v="15840000"/>
    <n v="5544000"/>
    <b v="1"/>
    <b v="1"/>
    <n v="0"/>
    <n v="2"/>
    <b v="1"/>
    <b v="0"/>
    <n v="21384000"/>
    <n v="5544000"/>
    <n v="33"/>
    <n v="33"/>
    <n v="0"/>
    <n v="1"/>
    <n v="0"/>
    <n v="5544000"/>
  </r>
  <r>
    <d v="2026-06-01T00:00:00"/>
    <s v="SO2606-0087"/>
    <n v="4"/>
    <s v="KH037"/>
    <s v="VT020"/>
    <s v="WH_HCM"/>
    <n v="2"/>
    <n v="2"/>
    <n v="0"/>
    <n v="0.05"/>
    <s v="Completed"/>
    <d v="2026-06-08T00:00:00"/>
    <d v="2026-06-08T00:00:00"/>
    <s v="NV An"/>
    <s v="Giá bán bằng 0"/>
    <n v="133"/>
    <s v="Khách hàng 037"/>
    <x v="0"/>
    <x v="0"/>
    <s v="Active"/>
    <x v="36"/>
    <s v="CAT02"/>
    <x v="3"/>
    <n v="650000"/>
    <n v="793000"/>
    <s v="Active"/>
    <s v="B"/>
    <s v="Kho HCM"/>
    <s v="Miền Nam"/>
    <x v="3"/>
    <n v="0"/>
    <n v="1300000"/>
    <n v="-1300000"/>
    <b v="1"/>
    <b v="1"/>
    <n v="1"/>
    <n v="0"/>
    <b v="1"/>
    <b v="0"/>
    <n v="0"/>
    <n v="-1300000"/>
    <n v="2"/>
    <n v="2"/>
    <n v="1"/>
    <n v="1"/>
    <n v="0"/>
    <n v="-1300000"/>
  </r>
  <r>
    <d v="2026-06-02T00:00:00"/>
    <s v="SO2606-0122"/>
    <n v="3"/>
    <s v="KH038"/>
    <s v="VT015"/>
    <s v="WH_HN"/>
    <n v="31"/>
    <n v="28"/>
    <n v="2124000"/>
    <n v="0.08"/>
    <s v="Completed"/>
    <d v="2026-06-07T00:00:00"/>
    <d v="2026-06-07T00:00:00"/>
    <s v="NV Bình"/>
    <m/>
    <n v="134"/>
    <s v="Khách hàng 038"/>
    <x v="0"/>
    <x v="3"/>
    <s v="Active"/>
    <x v="20"/>
    <s v="CAT03"/>
    <x v="4"/>
    <n v="1800000"/>
    <n v="2124000"/>
    <s v="Active"/>
    <s v="C"/>
    <s v="Kho Hà Nội"/>
    <s v="Miền Bắc"/>
    <x v="3"/>
    <n v="54714240"/>
    <n v="50400000"/>
    <n v="4314240"/>
    <b v="1"/>
    <b v="1"/>
    <n v="1"/>
    <n v="0"/>
    <b v="1"/>
    <b v="0"/>
    <n v="54714240"/>
    <n v="4314240"/>
    <n v="28"/>
    <n v="31"/>
    <n v="1"/>
    <n v="1"/>
    <n v="0"/>
    <n v="4314240"/>
  </r>
  <r>
    <d v="2026-01-09T00:00:00"/>
    <s v="SO2601-0029"/>
    <n v="2"/>
    <s v="KH002"/>
    <s v="VT029"/>
    <s v="WH_DN"/>
    <n v="27"/>
    <n v="27"/>
    <n v="1125000"/>
    <n v="0.05"/>
    <s v="Completed"/>
    <d v="2026-01-16T00:00:00"/>
    <d v="2026-01-23T00:00:00"/>
    <s v="NV Dũng"/>
    <m/>
    <n v="135"/>
    <s v="Khách hàng 002"/>
    <x v="2"/>
    <x v="3"/>
    <s v="Active"/>
    <x v="15"/>
    <s v="CAT05"/>
    <x v="2"/>
    <n v="900000"/>
    <n v="1125000"/>
    <s v="Active"/>
    <s v="A"/>
    <s v="Kho Đà Nẵng"/>
    <s v="Miền Trung"/>
    <x v="2"/>
    <n v="28856250"/>
    <n v="24300000"/>
    <n v="4556250"/>
    <b v="1"/>
    <b v="1"/>
    <n v="0"/>
    <n v="7"/>
    <b v="1"/>
    <b v="0"/>
    <n v="28856250"/>
    <n v="4556250"/>
    <n v="27"/>
    <n v="27"/>
    <n v="0"/>
    <n v="1"/>
    <n v="0"/>
    <n v="4556250"/>
  </r>
  <r>
    <d v="2026-01-16T00:00:00"/>
    <s v="SO2601-0036"/>
    <n v="2"/>
    <s v="KH036"/>
    <s v="VT021"/>
    <s v="WH_HCM"/>
    <n v="34"/>
    <n v="34"/>
    <n v="413000"/>
    <n v="0.08"/>
    <s v="Completed"/>
    <d v="2026-01-19T00:00:00"/>
    <d v="2026-01-21T00:00:00"/>
    <s v="NV Chi"/>
    <m/>
    <n v="136"/>
    <s v="Khách hàng 036"/>
    <x v="0"/>
    <x v="0"/>
    <s v="Active"/>
    <x v="9"/>
    <s v="CAT03"/>
    <x v="4"/>
    <n v="350000"/>
    <n v="413000"/>
    <s v="Discontinued"/>
    <s v="C"/>
    <s v="Kho HCM"/>
    <s v="Miền Nam"/>
    <x v="2"/>
    <n v="12918640"/>
    <n v="11900000"/>
    <n v="1018640"/>
    <b v="1"/>
    <b v="1"/>
    <n v="0"/>
    <n v="2"/>
    <b v="1"/>
    <b v="0"/>
    <n v="12918640"/>
    <n v="1018640"/>
    <n v="34"/>
    <n v="34"/>
    <n v="0"/>
    <n v="1"/>
    <n v="0"/>
    <n v="1018640"/>
  </r>
  <r>
    <d v="2026-06-23T00:00:00"/>
    <s v="SO2606-0068"/>
    <n v="4"/>
    <s v="KH013"/>
    <s v="VT016"/>
    <s v="WH_DN"/>
    <n v="20"/>
    <n v="20"/>
    <n v="845000"/>
    <n v="0.1"/>
    <s v="Completed"/>
    <d v="2026-06-25T00:00:00"/>
    <d v="2026-06-28T00:00:00"/>
    <s v="NV Dũng"/>
    <m/>
    <n v="137"/>
    <s v="Khách hàng 013"/>
    <x v="1"/>
    <x v="1"/>
    <s v="Active"/>
    <x v="13"/>
    <s v="CAT04"/>
    <x v="0"/>
    <n v="650000"/>
    <n v="845000"/>
    <s v="Active"/>
    <s v="C"/>
    <s v="Kho Đà Nẵng"/>
    <s v="Miền Trung"/>
    <x v="3"/>
    <n v="15210000"/>
    <n v="13000000"/>
    <n v="2210000"/>
    <b v="1"/>
    <b v="1"/>
    <n v="0"/>
    <n v="3"/>
    <b v="1"/>
    <b v="0"/>
    <n v="15210000"/>
    <n v="2210000"/>
    <n v="20"/>
    <n v="20"/>
    <n v="0"/>
    <n v="1"/>
    <n v="0"/>
    <n v="2210000"/>
  </r>
  <r>
    <d v="2026-03-23T00:00:00"/>
    <s v="SO2603-0123"/>
    <n v="3"/>
    <s v="KH036"/>
    <s v="VT018"/>
    <s v="WH_DN"/>
    <n v="8"/>
    <n v="8"/>
    <n v="648000"/>
    <n v="0.05"/>
    <s v="Completed"/>
    <d v="2026-03-26T00:00:00"/>
    <d v="2026-04-02T00:00:00"/>
    <s v="NV Bình"/>
    <m/>
    <n v="138"/>
    <s v="Khách hàng 036"/>
    <x v="0"/>
    <x v="0"/>
    <s v="Active"/>
    <x v="6"/>
    <s v="CAT06"/>
    <x v="1"/>
    <n v="480000"/>
    <n v="648000"/>
    <s v="Active"/>
    <s v="A"/>
    <s v="Kho Đà Nẵng"/>
    <s v="Miền Trung"/>
    <x v="0"/>
    <n v="4924800"/>
    <n v="3840000"/>
    <n v="1084800"/>
    <b v="1"/>
    <b v="1"/>
    <n v="0"/>
    <n v="7"/>
    <b v="1"/>
    <b v="0"/>
    <n v="4924800"/>
    <n v="1084800"/>
    <n v="8"/>
    <n v="8"/>
    <n v="0"/>
    <n v="1"/>
    <n v="0"/>
    <n v="1084800"/>
  </r>
  <r>
    <d v="2026-03-16T00:00:00"/>
    <s v="SO2603-0011"/>
    <n v="3"/>
    <s v="KH006"/>
    <s v="VT023"/>
    <s v="WH_HCM"/>
    <n v="17"/>
    <n v="6"/>
    <n v="2250000"/>
    <n v="0"/>
    <s v="Open"/>
    <d v="2026-03-23T00:00:00"/>
    <m/>
    <s v="NV Chi"/>
    <m/>
    <n v="139"/>
    <s v="Khách hàng 006"/>
    <x v="2"/>
    <x v="0"/>
    <s v="Active"/>
    <x v="3"/>
    <s v="CAT05"/>
    <x v="2"/>
    <n v="1800000"/>
    <n v="2250000"/>
    <s v="Active"/>
    <s v="A"/>
    <s v="Kho HCM"/>
    <s v="Miền Nam"/>
    <x v="0"/>
    <n v="13500000"/>
    <n v="10800000"/>
    <n v="2700000"/>
    <b v="1"/>
    <b v="0"/>
    <m/>
    <m/>
    <b v="1"/>
    <b v="0"/>
    <n v="13500000"/>
    <n v="2700000"/>
    <n v="6"/>
    <n v="17"/>
    <n v="0"/>
    <n v="0"/>
    <n v="0"/>
    <n v="2700000"/>
  </r>
  <r>
    <d v="2026-05-24T00:00:00"/>
    <s v="SO2605-0070"/>
    <n v="2"/>
    <s v="KH007"/>
    <s v="VT016"/>
    <s v="WH_DA"/>
    <n v="4"/>
    <n v="4"/>
    <n v="845000"/>
    <n v="0.1"/>
    <s v="Completed"/>
    <d v="2026-05-26T00:00:00"/>
    <d v="2026-05-25T00:00:00"/>
    <s v="NV An"/>
    <m/>
    <n v="140"/>
    <s v="Khách hàng 007"/>
    <x v="2"/>
    <x v="2"/>
    <s v="Active"/>
    <x v="13"/>
    <s v="CAT04"/>
    <x v="0"/>
    <n v="650000"/>
    <n v="845000"/>
    <s v="Active"/>
    <s v="C"/>
    <s v="Kho Đông Anh"/>
    <s v="Miền Bắc"/>
    <x v="1"/>
    <n v="3042000"/>
    <n v="2600000"/>
    <n v="442000"/>
    <b v="1"/>
    <b v="1"/>
    <n v="1"/>
    <n v="-1"/>
    <b v="1"/>
    <b v="0"/>
    <n v="3042000"/>
    <n v="442000"/>
    <n v="4"/>
    <n v="4"/>
    <n v="1"/>
    <n v="1"/>
    <n v="0"/>
    <n v="442000"/>
  </r>
  <r>
    <d v="2026-04-16T00:00:00"/>
    <s v="SO2604-0085"/>
    <n v="4"/>
    <s v="KH007"/>
    <s v="VT009"/>
    <s v="WH_HN"/>
    <n v="11"/>
    <n v="11"/>
    <n v="566000"/>
    <n v="0.1"/>
    <s v="Completed"/>
    <d v="2026-04-18T00:00:00"/>
    <d v="2026-04-25T00:00:00"/>
    <s v="NV Chi"/>
    <m/>
    <n v="141"/>
    <s v="Khách hàng 007"/>
    <x v="2"/>
    <x v="2"/>
    <s v="Active"/>
    <x v="35"/>
    <s v="CAT03"/>
    <x v="4"/>
    <n v="480000"/>
    <n v="566000"/>
    <s v="Active"/>
    <s v="A"/>
    <s v="Kho Hà Nội"/>
    <s v="Miền Bắc"/>
    <x v="4"/>
    <n v="5603400"/>
    <n v="5280000"/>
    <n v="323400"/>
    <b v="1"/>
    <b v="1"/>
    <n v="0"/>
    <n v="7"/>
    <b v="1"/>
    <b v="0"/>
    <n v="5603400"/>
    <n v="323400"/>
    <n v="11"/>
    <n v="11"/>
    <n v="0"/>
    <n v="1"/>
    <n v="0"/>
    <n v="323400"/>
  </r>
  <r>
    <d v="2026-03-24T00:00:00"/>
    <s v="SO2603-0074"/>
    <n v="1"/>
    <s v="KH006"/>
    <s v="VT015"/>
    <s v="WH_HN"/>
    <n v="12"/>
    <n v="12"/>
    <n v="2124000"/>
    <n v="0.05"/>
    <s v="Completed"/>
    <d v="2026-03-29T00:00:00"/>
    <d v="2026-03-29T00:00:00"/>
    <s v="NV Chi"/>
    <m/>
    <n v="142"/>
    <s v="Khách hàng 006"/>
    <x v="2"/>
    <x v="0"/>
    <s v="Active"/>
    <x v="20"/>
    <s v="CAT03"/>
    <x v="4"/>
    <n v="1800000"/>
    <n v="2124000"/>
    <s v="Active"/>
    <s v="C"/>
    <s v="Kho Hà Nội"/>
    <s v="Miền Bắc"/>
    <x v="0"/>
    <n v="24213600"/>
    <n v="21600000"/>
    <n v="2613600"/>
    <b v="1"/>
    <b v="1"/>
    <n v="1"/>
    <n v="0"/>
    <b v="1"/>
    <b v="0"/>
    <n v="24213600"/>
    <n v="2613600"/>
    <n v="12"/>
    <n v="12"/>
    <n v="1"/>
    <n v="1"/>
    <n v="0"/>
    <n v="2613600"/>
  </r>
  <r>
    <d v="2026-01-10T00:00:00"/>
    <s v="SO2601-0003"/>
    <n v="3"/>
    <s v="KH037"/>
    <s v="VT007"/>
    <s v="WH_DN"/>
    <n v="19"/>
    <n v="16"/>
    <n v="448000"/>
    <n v="0.08"/>
    <s v="Completed"/>
    <d v="2026-01-15T00:00:00"/>
    <d v="2026-01-15T00:00:00"/>
    <s v="NV Dũng"/>
    <m/>
    <n v="143"/>
    <s v="Khách hàng 037"/>
    <x v="0"/>
    <x v="0"/>
    <s v="Active"/>
    <x v="25"/>
    <s v="CAT01"/>
    <x v="5"/>
    <n v="350000"/>
    <n v="448000"/>
    <s v="Discontinued"/>
    <s v="C"/>
    <s v="Kho Đà Nẵng"/>
    <s v="Miền Trung"/>
    <x v="2"/>
    <n v="6594560"/>
    <n v="5600000"/>
    <n v="994560"/>
    <b v="1"/>
    <b v="1"/>
    <n v="1"/>
    <n v="0"/>
    <b v="1"/>
    <b v="0"/>
    <n v="6594560"/>
    <n v="994560"/>
    <n v="16"/>
    <n v="19"/>
    <n v="1"/>
    <n v="1"/>
    <n v="0"/>
    <n v="994560"/>
  </r>
  <r>
    <d v="2026-03-11T00:00:00"/>
    <s v="SO2603-0050"/>
    <n v="1"/>
    <s v="KH022"/>
    <s v="VT011"/>
    <s v="WH_HCM"/>
    <n v="17"/>
    <n v="0"/>
    <n v="437000"/>
    <n v="0.1"/>
    <s v="Open"/>
    <d v="2026-03-14T00:00:00"/>
    <m/>
    <s v="NV Chi"/>
    <m/>
    <n v="144"/>
    <s v="Khách hàng 022"/>
    <x v="2"/>
    <x v="0"/>
    <s v="Active"/>
    <x v="33"/>
    <s v="CAT05"/>
    <x v="2"/>
    <n v="350000"/>
    <n v="437000"/>
    <s v="Active"/>
    <s v="A"/>
    <s v="Kho HCM"/>
    <s v="Miền Nam"/>
    <x v="0"/>
    <n v="0"/>
    <n v="0"/>
    <n v="0"/>
    <b v="1"/>
    <b v="0"/>
    <m/>
    <m/>
    <b v="1"/>
    <b v="0"/>
    <n v="0"/>
    <n v="0"/>
    <n v="0"/>
    <n v="17"/>
    <n v="0"/>
    <n v="0"/>
    <n v="0"/>
    <n v="0"/>
  </r>
  <r>
    <d v="2026-05-26T00:00:00"/>
    <s v="SO2605-0050"/>
    <n v="2"/>
    <s v="KH040"/>
    <s v="VT026"/>
    <s v="WH_HCM"/>
    <n v="33"/>
    <n v="31"/>
    <n v="146000"/>
    <n v="0"/>
    <s v="Completed"/>
    <d v="2026-05-28T00:00:00"/>
    <d v="2026-05-28T00:00:00"/>
    <s v="NV Dũng"/>
    <m/>
    <n v="145"/>
    <s v="Khách hàng 040"/>
    <x v="1"/>
    <x v="0"/>
    <s v="Active"/>
    <x v="29"/>
    <s v="CAT02"/>
    <x v="3"/>
    <n v="120000"/>
    <n v="146000"/>
    <s v="Active"/>
    <s v="B"/>
    <s v="Kho HCM"/>
    <s v="Miền Nam"/>
    <x v="1"/>
    <n v="4526000"/>
    <n v="3720000"/>
    <n v="806000"/>
    <b v="1"/>
    <b v="1"/>
    <n v="1"/>
    <n v="0"/>
    <b v="1"/>
    <b v="0"/>
    <n v="4526000"/>
    <n v="806000"/>
    <n v="31"/>
    <n v="33"/>
    <n v="1"/>
    <n v="1"/>
    <n v="0"/>
    <n v="806000"/>
  </r>
  <r>
    <d v="2026-03-24T00:00:00"/>
    <s v="SO2603-0064"/>
    <n v="1"/>
    <s v="KH017"/>
    <s v="VT025"/>
    <s v="WH_DA"/>
    <n v="29"/>
    <n v="10"/>
    <n v="2304000"/>
    <n v="0.02"/>
    <s v="Open"/>
    <d v="2026-03-31T00:00:00"/>
    <m/>
    <s v="NV An"/>
    <m/>
    <n v="146"/>
    <s v="Khách hàng 017"/>
    <x v="2"/>
    <x v="0"/>
    <s v="Active"/>
    <x v="10"/>
    <s v="CAT01"/>
    <x v="5"/>
    <n v="1800000"/>
    <n v="2304000"/>
    <s v="Active"/>
    <s v="B"/>
    <s v="Kho Đông Anh"/>
    <s v="Miền Bắc"/>
    <x v="0"/>
    <n v="22579200"/>
    <n v="18000000"/>
    <n v="4579200"/>
    <b v="1"/>
    <b v="0"/>
    <m/>
    <m/>
    <b v="1"/>
    <b v="0"/>
    <n v="22579200"/>
    <n v="4579200"/>
    <n v="10"/>
    <n v="29"/>
    <n v="0"/>
    <n v="0"/>
    <n v="0"/>
    <n v="4579200"/>
  </r>
  <r>
    <d v="2026-03-08T00:00:00"/>
    <s v="SO2603-0093"/>
    <n v="2"/>
    <s v="KH004"/>
    <s v="VT008"/>
    <s v="WH_HCM"/>
    <n v="20"/>
    <n v="17"/>
    <n v="2196000"/>
    <n v="0.1"/>
    <s v="Completed"/>
    <d v="2026-03-11T00:00:00"/>
    <d v="2026-03-14T00:00:00"/>
    <s v="NV An"/>
    <m/>
    <n v="147"/>
    <s v="Khách hàng 004"/>
    <x v="0"/>
    <x v="1"/>
    <s v="Active"/>
    <x v="24"/>
    <s v="CAT02"/>
    <x v="3"/>
    <n v="1800000"/>
    <n v="2196000"/>
    <s v="Active"/>
    <s v="B"/>
    <s v="Kho HCM"/>
    <s v="Miền Nam"/>
    <x v="0"/>
    <n v="33598800"/>
    <n v="30600000"/>
    <n v="2998800"/>
    <b v="1"/>
    <b v="1"/>
    <n v="0"/>
    <n v="3"/>
    <b v="1"/>
    <b v="0"/>
    <n v="33598800"/>
    <n v="2998800"/>
    <n v="17"/>
    <n v="20"/>
    <n v="0"/>
    <n v="1"/>
    <n v="0"/>
    <n v="2998800"/>
  </r>
  <r>
    <d v="2026-06-13T00:00:00"/>
    <s v="SO2606-0076"/>
    <n v="3"/>
    <s v="KH040"/>
    <s v="VT015"/>
    <s v="WH_DA"/>
    <n v="9"/>
    <n v="7"/>
    <n v="2124000"/>
    <n v="0.08"/>
    <s v="Completed"/>
    <d v="2026-06-16T00:00:00"/>
    <d v="2026-06-17T00:00:00"/>
    <s v="NV Dũng"/>
    <m/>
    <n v="148"/>
    <s v="Khách hàng 040"/>
    <x v="1"/>
    <x v="0"/>
    <s v="Active"/>
    <x v="20"/>
    <s v="CAT03"/>
    <x v="4"/>
    <n v="1800000"/>
    <n v="2124000"/>
    <s v="Active"/>
    <s v="C"/>
    <s v="Kho Đông Anh"/>
    <s v="Miền Bắc"/>
    <x v="3"/>
    <n v="13678560"/>
    <n v="12600000"/>
    <n v="1078560"/>
    <b v="1"/>
    <b v="1"/>
    <n v="0"/>
    <n v="1"/>
    <b v="1"/>
    <b v="0"/>
    <n v="13678560"/>
    <n v="1078560"/>
    <n v="7"/>
    <n v="9"/>
    <n v="0"/>
    <n v="1"/>
    <n v="0"/>
    <n v="1078560"/>
  </r>
  <r>
    <d v="2026-05-18T00:00:00"/>
    <s v="SO2605-0056"/>
    <n v="2"/>
    <s v="KH039"/>
    <s v="VT006"/>
    <s v="WH_HCM"/>
    <n v="34"/>
    <n v="4"/>
    <n v="2430000"/>
    <n v="0.08"/>
    <s v="Open"/>
    <d v="2026-05-19T00:00:00"/>
    <m/>
    <s v="NV An"/>
    <m/>
    <n v="149"/>
    <s v="Khách hàng 039"/>
    <x v="2"/>
    <x v="3"/>
    <s v="Active"/>
    <x v="1"/>
    <s v="CAT06"/>
    <x v="1"/>
    <n v="1800000"/>
    <n v="2430000"/>
    <s v="Active"/>
    <s v="C"/>
    <s v="Kho HCM"/>
    <s v="Miền Nam"/>
    <x v="1"/>
    <n v="8942400"/>
    <n v="7200000"/>
    <n v="1742400"/>
    <b v="1"/>
    <b v="0"/>
    <m/>
    <m/>
    <b v="1"/>
    <b v="0"/>
    <n v="8942400"/>
    <n v="1742400"/>
    <n v="4"/>
    <n v="34"/>
    <n v="0"/>
    <n v="0"/>
    <n v="0"/>
    <n v="1742400"/>
  </r>
  <r>
    <d v="2026-05-21T00:00:00"/>
    <s v="SO2605-0130"/>
    <n v="2"/>
    <s v="KH037"/>
    <s v="VT035"/>
    <s v="WH_DA"/>
    <n v="11"/>
    <n v="11"/>
    <n v="312000"/>
    <n v="0"/>
    <s v="Completed"/>
    <d v="2026-05-31T00:00:00"/>
    <d v="2026-05-31T00:00:00"/>
    <s v="NV Dũng"/>
    <m/>
    <n v="150"/>
    <s v="Khách hàng 037"/>
    <x v="0"/>
    <x v="0"/>
    <s v="Active"/>
    <x v="18"/>
    <s v="CAT05"/>
    <x v="2"/>
    <n v="250000"/>
    <n v="312000"/>
    <s v="Discontinued"/>
    <s v="C"/>
    <s v="Kho Đông Anh"/>
    <s v="Miền Bắc"/>
    <x v="1"/>
    <n v="3432000"/>
    <n v="2750000"/>
    <n v="682000"/>
    <b v="1"/>
    <b v="1"/>
    <n v="1"/>
    <n v="0"/>
    <b v="1"/>
    <b v="0"/>
    <n v="3432000"/>
    <n v="682000"/>
    <n v="11"/>
    <n v="11"/>
    <n v="1"/>
    <n v="1"/>
    <n v="0"/>
    <n v="682000"/>
  </r>
  <r>
    <d v="2026-01-24T00:00:00"/>
    <s v="SO2601-0131"/>
    <n v="4"/>
    <s v="KH004"/>
    <s v="VT030"/>
    <s v="WH_DA"/>
    <n v="33"/>
    <n v="33"/>
    <n v="648000"/>
    <n v="0.08"/>
    <s v="Completed"/>
    <d v="2026-01-29T00:00:00"/>
    <d v="2026-02-01T00:00:00"/>
    <s v="NV Chi"/>
    <m/>
    <n v="151"/>
    <s v="Khách hàng 004"/>
    <x v="0"/>
    <x v="1"/>
    <s v="Active"/>
    <x v="21"/>
    <s v="CAT06"/>
    <x v="1"/>
    <n v="480000"/>
    <n v="648000"/>
    <s v="Active"/>
    <s v="C"/>
    <s v="Kho Đông Anh"/>
    <s v="Miền Bắc"/>
    <x v="2"/>
    <n v="19673280"/>
    <n v="15840000"/>
    <n v="3833280"/>
    <b v="1"/>
    <b v="1"/>
    <n v="0"/>
    <n v="3"/>
    <b v="1"/>
    <b v="0"/>
    <n v="19673280"/>
    <n v="3833280"/>
    <n v="33"/>
    <n v="33"/>
    <n v="0"/>
    <n v="1"/>
    <n v="0"/>
    <n v="3833280"/>
  </r>
  <r>
    <d v="2026-01-06T00:00:00"/>
    <s v="SO2601-0102"/>
    <n v="3"/>
    <s v="KH001"/>
    <s v="VT014"/>
    <s v="WH_HN"/>
    <n v="3"/>
    <n v="3"/>
    <n v="2196000"/>
    <n v="0.08"/>
    <s v="Completed"/>
    <d v="2026-01-07T00:00:00"/>
    <d v="2026-01-06T00:00:00"/>
    <s v="NV Dũng"/>
    <m/>
    <n v="152"/>
    <s v="Khách hàng 001"/>
    <x v="0"/>
    <x v="2"/>
    <s v="Active"/>
    <x v="34"/>
    <s v="CAT02"/>
    <x v="3"/>
    <n v="1800000"/>
    <n v="2196000"/>
    <s v="Active"/>
    <s v="A"/>
    <s v="Kho Hà Nội"/>
    <s v="Miền Bắc"/>
    <x v="2"/>
    <n v="6060960"/>
    <n v="5400000"/>
    <n v="660960"/>
    <b v="1"/>
    <b v="1"/>
    <n v="1"/>
    <n v="-1"/>
    <b v="1"/>
    <b v="0"/>
    <n v="6060960"/>
    <n v="660960"/>
    <n v="3"/>
    <n v="3"/>
    <n v="1"/>
    <n v="1"/>
    <n v="0"/>
    <n v="660960"/>
  </r>
  <r>
    <d v="2026-01-09T00:00:00"/>
    <s v="SO2601-0074"/>
    <n v="4"/>
    <s v="KH012"/>
    <s v="VT009"/>
    <s v="WH_HCM"/>
    <n v="-7"/>
    <n v="-7"/>
    <n v="566000"/>
    <n v="0.05"/>
    <s v="Return"/>
    <d v="2026-01-14T00:00:00"/>
    <d v="2026-01-15T00:00:00"/>
    <s v="NV An"/>
    <m/>
    <n v="153"/>
    <s v="Khách hàng 012"/>
    <x v="1"/>
    <x v="0"/>
    <s v="Active"/>
    <x v="35"/>
    <s v="CAT03"/>
    <x v="4"/>
    <n v="480000"/>
    <n v="566000"/>
    <s v="Active"/>
    <s v="A"/>
    <s v="Kho HCM"/>
    <s v="Miền Nam"/>
    <x v="2"/>
    <n v="-3763900"/>
    <n v="-3360000"/>
    <n v="-403900"/>
    <b v="1"/>
    <b v="1"/>
    <n v="0"/>
    <n v="1"/>
    <b v="0"/>
    <b v="1"/>
    <n v="-3763900"/>
    <n v="-403900"/>
    <n v="0"/>
    <n v="0"/>
    <n v="0"/>
    <n v="1"/>
    <n v="-3763900"/>
    <n v="-403900"/>
  </r>
  <r>
    <d v="2026-06-24T00:00:00"/>
    <s v="SO2606-0139"/>
    <n v="2"/>
    <s v="KH023"/>
    <s v="VT008"/>
    <s v="WH_DA"/>
    <n v="35"/>
    <n v="34"/>
    <n v="2196000"/>
    <n v="0"/>
    <s v="Completed"/>
    <d v="2026-06-25T00:00:00"/>
    <d v="2026-07-02T00:00:00"/>
    <s v="NV An"/>
    <m/>
    <n v="154"/>
    <s v="Khách hàng 023"/>
    <x v="1"/>
    <x v="3"/>
    <s v="Active"/>
    <x v="24"/>
    <s v="CAT02"/>
    <x v="3"/>
    <n v="1800000"/>
    <n v="2196000"/>
    <s v="Active"/>
    <s v="B"/>
    <s v="Kho Đông Anh"/>
    <s v="Miền Bắc"/>
    <x v="3"/>
    <n v="74664000"/>
    <n v="61200000"/>
    <n v="13464000"/>
    <b v="1"/>
    <b v="1"/>
    <n v="0"/>
    <n v="7"/>
    <b v="1"/>
    <b v="0"/>
    <n v="74664000"/>
    <n v="13464000"/>
    <n v="34"/>
    <n v="35"/>
    <n v="0"/>
    <n v="1"/>
    <n v="0"/>
    <n v="13464000"/>
  </r>
  <r>
    <d v="2026-03-18T00:00:00"/>
    <s v="SO2603-0119"/>
    <n v="4"/>
    <s v="KH999"/>
    <s v="VT025"/>
    <s v="WH_DA"/>
    <n v="16"/>
    <n v="16"/>
    <n v="2304000"/>
    <n v="0"/>
    <s v="Completed"/>
    <d v="2026-03-28T00:00:00"/>
    <d v="2026-04-04T00:00:00"/>
    <s v="NV An"/>
    <s v="Sai master customer"/>
    <n v="155"/>
    <m/>
    <x v="3"/>
    <x v="4"/>
    <m/>
    <x v="10"/>
    <s v="CAT01"/>
    <x v="5"/>
    <n v="1800000"/>
    <n v="2304000"/>
    <s v="Active"/>
    <s v="B"/>
    <s v="Kho Đông Anh"/>
    <s v="Miền Bắc"/>
    <x v="0"/>
    <n v="36864000"/>
    <n v="28800000"/>
    <n v="8064000"/>
    <b v="1"/>
    <b v="1"/>
    <n v="0"/>
    <n v="7"/>
    <b v="1"/>
    <b v="0"/>
    <n v="36864000"/>
    <n v="8064000"/>
    <n v="16"/>
    <n v="16"/>
    <n v="0"/>
    <n v="1"/>
    <n v="0"/>
    <n v="8064000"/>
  </r>
  <r>
    <d v="2026-01-09T00:00:00"/>
    <s v="SO2601-0108"/>
    <n v="1"/>
    <s v="KH016"/>
    <s v="VT014"/>
    <s v="WH_HN"/>
    <n v="7"/>
    <n v="5"/>
    <n v="2196000"/>
    <n v="0.1"/>
    <s v="Completed"/>
    <d v="2026-01-19T00:00:00"/>
    <d v="2026-01-26T00:00:00"/>
    <s v="NV An"/>
    <m/>
    <n v="156"/>
    <s v="Khách hàng 016"/>
    <x v="0"/>
    <x v="1"/>
    <s v="Active"/>
    <x v="34"/>
    <s v="CAT02"/>
    <x v="3"/>
    <n v="1800000"/>
    <n v="2196000"/>
    <s v="Active"/>
    <s v="A"/>
    <s v="Kho Hà Nội"/>
    <s v="Miền Bắc"/>
    <x v="2"/>
    <n v="9882000"/>
    <n v="9000000"/>
    <n v="882000"/>
    <b v="1"/>
    <b v="1"/>
    <n v="0"/>
    <n v="7"/>
    <b v="1"/>
    <b v="0"/>
    <n v="9882000"/>
    <n v="882000"/>
    <n v="5"/>
    <n v="7"/>
    <n v="0"/>
    <n v="1"/>
    <n v="0"/>
    <n v="882000"/>
  </r>
  <r>
    <d v="2026-03-04T00:00:00"/>
    <s v="SO2603-0012"/>
    <n v="4"/>
    <s v="KH029"/>
    <s v="VT015"/>
    <s v="WH_DA"/>
    <n v="4"/>
    <n v="4"/>
    <n v="2124000"/>
    <n v="0.1"/>
    <s v="Completed"/>
    <d v="2026-03-11T00:00:00"/>
    <d v="2026-03-11T00:00:00"/>
    <s v="NV Chi"/>
    <m/>
    <n v="157"/>
    <s v="Khách hàng 029"/>
    <x v="1"/>
    <x v="3"/>
    <s v="Active"/>
    <x v="20"/>
    <s v="CAT03"/>
    <x v="4"/>
    <n v="1800000"/>
    <n v="2124000"/>
    <s v="Active"/>
    <s v="C"/>
    <s v="Kho Đông Anh"/>
    <s v="Miền Bắc"/>
    <x v="0"/>
    <n v="7646400"/>
    <n v="7200000"/>
    <n v="446400"/>
    <b v="1"/>
    <b v="1"/>
    <n v="1"/>
    <n v="0"/>
    <b v="1"/>
    <b v="0"/>
    <n v="7646400"/>
    <n v="446400"/>
    <n v="4"/>
    <n v="4"/>
    <n v="1"/>
    <n v="1"/>
    <n v="0"/>
    <n v="446400"/>
  </r>
  <r>
    <d v="2026-03-02T00:00:00"/>
    <s v="SO2603-0078"/>
    <n v="2"/>
    <s v="KH034"/>
    <s v="VT015"/>
    <s v="WH_HCM"/>
    <n v="20"/>
    <n v="17"/>
    <n v="2124000"/>
    <n v="0.1"/>
    <s v="Completed"/>
    <d v="2026-03-04T00:00:00"/>
    <d v="2026-03-07T00:00:00"/>
    <s v="NV Dũng"/>
    <m/>
    <n v="158"/>
    <s v="Khách hàng 034"/>
    <x v="1"/>
    <x v="0"/>
    <s v="Active"/>
    <x v="20"/>
    <s v="CAT03"/>
    <x v="4"/>
    <n v="1800000"/>
    <n v="2124000"/>
    <s v="Active"/>
    <s v="C"/>
    <s v="Kho HCM"/>
    <s v="Miền Nam"/>
    <x v="0"/>
    <n v="32497200"/>
    <n v="30600000"/>
    <n v="1897200"/>
    <b v="1"/>
    <b v="1"/>
    <n v="0"/>
    <n v="3"/>
    <b v="1"/>
    <b v="0"/>
    <n v="32497200"/>
    <n v="1897200"/>
    <n v="17"/>
    <n v="20"/>
    <n v="0"/>
    <n v="1"/>
    <n v="0"/>
    <n v="1897200"/>
  </r>
  <r>
    <d v="2026-05-23T00:00:00"/>
    <s v="SO2605-0127"/>
    <n v="1"/>
    <s v="KH023"/>
    <s v="VT025"/>
    <s v="WH_DN"/>
    <n v="27"/>
    <n v="27"/>
    <n v="2304000"/>
    <n v="0"/>
    <s v="Completed"/>
    <d v="2026-05-30T00:00:00"/>
    <d v="2026-05-31T00:00:00"/>
    <s v="NV Bình"/>
    <m/>
    <n v="159"/>
    <s v="Khách hàng 023"/>
    <x v="1"/>
    <x v="3"/>
    <s v="Active"/>
    <x v="10"/>
    <s v="CAT01"/>
    <x v="5"/>
    <n v="1800000"/>
    <n v="2304000"/>
    <s v="Active"/>
    <s v="B"/>
    <s v="Kho Đà Nẵng"/>
    <s v="Miền Trung"/>
    <x v="1"/>
    <n v="62208000"/>
    <n v="48600000"/>
    <n v="13608000"/>
    <b v="1"/>
    <b v="1"/>
    <n v="0"/>
    <n v="1"/>
    <b v="1"/>
    <b v="0"/>
    <n v="62208000"/>
    <n v="13608000"/>
    <n v="27"/>
    <n v="27"/>
    <n v="0"/>
    <n v="1"/>
    <n v="0"/>
    <n v="13608000"/>
  </r>
  <r>
    <d v="2026-02-27T00:00:00"/>
    <s v="SO2602-0077"/>
    <n v="2"/>
    <s v="KH030"/>
    <s v="VT004"/>
    <s v="WH_HCM"/>
    <n v="27"/>
    <n v="27"/>
    <n v="234000"/>
    <n v="0"/>
    <s v="Completed"/>
    <d v="2026-03-02T00:00:00"/>
    <d v="2026-03-02T00:00:00"/>
    <s v="NV Chi"/>
    <m/>
    <n v="160"/>
    <s v="Khách hàng 030"/>
    <x v="2"/>
    <x v="1"/>
    <s v="Active"/>
    <x v="23"/>
    <s v="CAT04"/>
    <x v="0"/>
    <n v="180000"/>
    <n v="234000"/>
    <s v="Active"/>
    <s v="A"/>
    <s v="Kho HCM"/>
    <s v="Miền Nam"/>
    <x v="5"/>
    <n v="6318000"/>
    <n v="4860000"/>
    <n v="1458000"/>
    <b v="1"/>
    <b v="1"/>
    <n v="1"/>
    <n v="0"/>
    <b v="1"/>
    <b v="0"/>
    <n v="6318000"/>
    <n v="1458000"/>
    <n v="27"/>
    <n v="27"/>
    <n v="1"/>
    <n v="1"/>
    <n v="0"/>
    <n v="1458000"/>
  </r>
  <r>
    <d v="2026-06-15T00:00:00"/>
    <s v="SO2606-0021"/>
    <n v="4"/>
    <s v="KH024"/>
    <s v="VT006"/>
    <s v="WH_DA"/>
    <n v="4"/>
    <n v="1"/>
    <n v="2430000"/>
    <n v="0.08"/>
    <s v="Completed"/>
    <d v="2026-06-16T00:00:00"/>
    <d v="2026-06-23T00:00:00"/>
    <s v="NV An"/>
    <m/>
    <n v="161"/>
    <s v="Khách hàng 024"/>
    <x v="1"/>
    <x v="3"/>
    <s v="Active"/>
    <x v="1"/>
    <s v="CAT06"/>
    <x v="1"/>
    <n v="1800000"/>
    <n v="2430000"/>
    <s v="Active"/>
    <s v="C"/>
    <s v="Kho Đông Anh"/>
    <s v="Miền Bắc"/>
    <x v="3"/>
    <n v="2235600"/>
    <n v="1800000"/>
    <n v="435600"/>
    <b v="1"/>
    <b v="1"/>
    <n v="0"/>
    <n v="7"/>
    <b v="1"/>
    <b v="0"/>
    <n v="2235600"/>
    <n v="435600"/>
    <n v="1"/>
    <n v="4"/>
    <n v="0"/>
    <n v="1"/>
    <n v="0"/>
    <n v="435600"/>
  </r>
  <r>
    <d v="2026-02-18T00:00:00"/>
    <s v="SO2602-0144"/>
    <n v="2"/>
    <s v="KH031"/>
    <s v="VT014"/>
    <s v="WH_DN"/>
    <n v="-1"/>
    <n v="-1"/>
    <n v="2196000"/>
    <n v="0"/>
    <s v="Return"/>
    <d v="2026-02-20T00:00:00"/>
    <d v="2026-02-23T00:00:00"/>
    <s v="NV An"/>
    <m/>
    <n v="162"/>
    <s v="Khách hàng 031"/>
    <x v="0"/>
    <x v="1"/>
    <s v="Inactive"/>
    <x v="34"/>
    <s v="CAT02"/>
    <x v="3"/>
    <n v="1800000"/>
    <n v="2196000"/>
    <s v="Active"/>
    <s v="A"/>
    <s v="Kho Đà Nẵng"/>
    <s v="Miền Trung"/>
    <x v="5"/>
    <n v="-2196000"/>
    <n v="-1800000"/>
    <n v="-396000"/>
    <b v="1"/>
    <b v="1"/>
    <n v="0"/>
    <n v="3"/>
    <b v="0"/>
    <b v="1"/>
    <n v="-2196000"/>
    <n v="-396000"/>
    <n v="0"/>
    <n v="0"/>
    <n v="0"/>
    <n v="1"/>
    <n v="-2196000"/>
    <n v="-396000"/>
  </r>
  <r>
    <d v="2026-05-03T00:00:00"/>
    <s v="SO2605-0063"/>
    <n v="2"/>
    <s v="KH026"/>
    <s v="VT016"/>
    <s v="WH_DN"/>
    <n v="19"/>
    <n v="16"/>
    <n v="845000"/>
    <n v="0.02"/>
    <s v="Completed"/>
    <d v="2026-05-06T00:00:00"/>
    <d v="2026-05-06T00:00:00"/>
    <s v="NV Chi"/>
    <m/>
    <n v="163"/>
    <s v="Khách hàng 026"/>
    <x v="2"/>
    <x v="1"/>
    <s v="Active"/>
    <x v="13"/>
    <s v="CAT04"/>
    <x v="0"/>
    <n v="650000"/>
    <n v="845000"/>
    <s v="Active"/>
    <s v="C"/>
    <s v="Kho Đà Nẵng"/>
    <s v="Miền Trung"/>
    <x v="1"/>
    <n v="13249600"/>
    <n v="10400000"/>
    <n v="2849600"/>
    <b v="1"/>
    <b v="1"/>
    <n v="1"/>
    <n v="0"/>
    <b v="1"/>
    <b v="0"/>
    <n v="13249600"/>
    <n v="2849600"/>
    <n v="16"/>
    <n v="19"/>
    <n v="1"/>
    <n v="1"/>
    <n v="0"/>
    <n v="2849600"/>
  </r>
  <r>
    <d v="2026-05-12T00:00:00"/>
    <s v="SO2605-0128"/>
    <n v="4"/>
    <s v="KH007"/>
    <s v="VT031"/>
    <s v="WH_DN"/>
    <n v="14"/>
    <n v="14"/>
    <n v="2304000"/>
    <n v="0.08"/>
    <s v="Completed"/>
    <d v="2026-05-14T00:00:00"/>
    <d v="2026-05-17T00:00:00"/>
    <s v="NV Bình"/>
    <m/>
    <n v="164"/>
    <s v="Khách hàng 007"/>
    <x v="2"/>
    <x v="2"/>
    <s v="Active"/>
    <x v="30"/>
    <s v="CAT01"/>
    <x v="5"/>
    <n v="1800000"/>
    <n v="2304000"/>
    <s v="Active"/>
    <s v="C"/>
    <s v="Kho Đà Nẵng"/>
    <s v="Miền Trung"/>
    <x v="1"/>
    <n v="29675520"/>
    <n v="25200000"/>
    <n v="4475520"/>
    <b v="1"/>
    <b v="1"/>
    <n v="0"/>
    <n v="3"/>
    <b v="1"/>
    <b v="0"/>
    <n v="29675520"/>
    <n v="4475520"/>
    <n v="14"/>
    <n v="14"/>
    <n v="0"/>
    <n v="1"/>
    <n v="0"/>
    <n v="4475520"/>
  </r>
  <r>
    <d v="2026-01-05T00:00:00"/>
    <s v="SO2601-0067"/>
    <n v="4"/>
    <s v="KH019"/>
    <s v="VT010"/>
    <s v="WH_DA"/>
    <n v="22"/>
    <n v="22"/>
    <n v="1170000"/>
    <n v="0.05"/>
    <s v="Completed"/>
    <d v="2026-01-12T00:00:00"/>
    <d v="2026-01-15T00:00:00"/>
    <s v="NV Chi"/>
    <m/>
    <n v="165"/>
    <s v="Khách hàng 019"/>
    <x v="2"/>
    <x v="1"/>
    <s v="Active"/>
    <x v="0"/>
    <s v="CAT04"/>
    <x v="0"/>
    <n v="900000"/>
    <n v="1170000"/>
    <s v="Active"/>
    <s v="A"/>
    <s v="Kho Đông Anh"/>
    <s v="Miền Bắc"/>
    <x v="2"/>
    <n v="24453000"/>
    <n v="19800000"/>
    <n v="4653000"/>
    <b v="1"/>
    <b v="1"/>
    <n v="0"/>
    <n v="3"/>
    <b v="1"/>
    <b v="0"/>
    <n v="24453000"/>
    <n v="4653000"/>
    <n v="22"/>
    <n v="22"/>
    <n v="0"/>
    <n v="1"/>
    <n v="0"/>
    <n v="4653000"/>
  </r>
  <r>
    <d v="2026-03-07T00:00:00"/>
    <s v="SO2603-0126"/>
    <n v="4"/>
    <s v="KH030"/>
    <s v="VT011"/>
    <s v="WH_DN"/>
    <n v="11"/>
    <n v="11"/>
    <n v="437000"/>
    <n v="0"/>
    <s v="Completed"/>
    <d v="2026-03-14T00:00:00"/>
    <d v="2026-03-17T00:00:00"/>
    <s v="NV An"/>
    <m/>
    <n v="166"/>
    <s v="Khách hàng 030"/>
    <x v="2"/>
    <x v="1"/>
    <s v="Active"/>
    <x v="33"/>
    <s v="CAT05"/>
    <x v="2"/>
    <n v="350000"/>
    <n v="437000"/>
    <s v="Active"/>
    <s v="A"/>
    <s v="Kho Đà Nẵng"/>
    <s v="Miền Trung"/>
    <x v="0"/>
    <n v="4807000"/>
    <n v="3850000"/>
    <n v="957000"/>
    <b v="1"/>
    <b v="1"/>
    <n v="0"/>
    <n v="3"/>
    <b v="1"/>
    <b v="0"/>
    <n v="4807000"/>
    <n v="957000"/>
    <n v="11"/>
    <n v="11"/>
    <n v="0"/>
    <n v="1"/>
    <n v="0"/>
    <n v="957000"/>
  </r>
  <r>
    <d v="2026-05-15T00:00:00"/>
    <s v="SO2605-0009"/>
    <n v="1"/>
    <s v="KH004"/>
    <s v="VT001"/>
    <s v="WH_HCM"/>
    <n v="9"/>
    <n v="3"/>
    <n v="230000"/>
    <n v="0"/>
    <s v="Open"/>
    <d v="2026-05-25T00:00:00"/>
    <m/>
    <s v="NV Bình"/>
    <m/>
    <n v="167"/>
    <s v="Khách hàng 004"/>
    <x v="0"/>
    <x v="1"/>
    <s v="Active"/>
    <x v="31"/>
    <s v="CAT01"/>
    <x v="5"/>
    <n v="180000"/>
    <n v="230000"/>
    <s v="Active"/>
    <s v="B"/>
    <s v="Kho HCM"/>
    <s v="Miền Nam"/>
    <x v="1"/>
    <n v="690000"/>
    <n v="540000"/>
    <n v="150000"/>
    <b v="1"/>
    <b v="0"/>
    <m/>
    <m/>
    <b v="1"/>
    <b v="0"/>
    <n v="690000"/>
    <n v="150000"/>
    <n v="3"/>
    <n v="9"/>
    <n v="0"/>
    <n v="0"/>
    <n v="0"/>
    <n v="150000"/>
  </r>
  <r>
    <d v="2026-01-03T00:00:00"/>
    <s v="SO2601-0056"/>
    <n v="4"/>
    <s v="KH024"/>
    <s v="VT004"/>
    <s v="WH_HCM"/>
    <n v="32"/>
    <n v="29"/>
    <n v="234000"/>
    <n v="0.05"/>
    <s v="Completed"/>
    <d v="2026-01-04T00:00:00"/>
    <d v="2026-01-03T00:00:00"/>
    <s v="NV Chi"/>
    <m/>
    <n v="168"/>
    <s v="Khách hàng 024"/>
    <x v="1"/>
    <x v="3"/>
    <s v="Active"/>
    <x v="23"/>
    <s v="CAT04"/>
    <x v="0"/>
    <n v="180000"/>
    <n v="234000"/>
    <s v="Active"/>
    <s v="A"/>
    <s v="Kho HCM"/>
    <s v="Miền Nam"/>
    <x v="2"/>
    <n v="6446700"/>
    <n v="5220000"/>
    <n v="1226700"/>
    <b v="1"/>
    <b v="1"/>
    <n v="1"/>
    <n v="-1"/>
    <b v="1"/>
    <b v="0"/>
    <n v="6446700"/>
    <n v="1226700"/>
    <n v="29"/>
    <n v="32"/>
    <n v="1"/>
    <n v="1"/>
    <n v="0"/>
    <n v="1226700"/>
  </r>
  <r>
    <d v="2026-05-18T00:00:00"/>
    <s v="SO2605-0074"/>
    <n v="1"/>
    <s v="KH033"/>
    <s v="VT028"/>
    <s v="WH_DA"/>
    <n v="7"/>
    <n v="0"/>
    <n v="845000"/>
    <n v="0.08"/>
    <s v="Cancelled"/>
    <d v="2026-05-20T00:00:00"/>
    <m/>
    <s v="NV Bình"/>
    <m/>
    <n v="169"/>
    <s v="Khách hàng 033"/>
    <x v="1"/>
    <x v="1"/>
    <s v="Active"/>
    <x v="8"/>
    <s v="CAT04"/>
    <x v="0"/>
    <n v="650000"/>
    <n v="845000"/>
    <s v="Active"/>
    <s v="B"/>
    <s v="Kho Đông Anh"/>
    <s v="Miền Bắc"/>
    <x v="1"/>
    <n v="0"/>
    <m/>
    <n v="0"/>
    <b v="1"/>
    <b v="0"/>
    <m/>
    <m/>
    <b v="0"/>
    <b v="0"/>
    <n v="0"/>
    <n v="0"/>
    <n v="0"/>
    <n v="0"/>
    <n v="0"/>
    <n v="0"/>
    <n v="0"/>
    <n v="0"/>
  </r>
  <r>
    <d v="2026-02-19T00:00:00"/>
    <s v="SO2602-0135"/>
    <n v="3"/>
    <s v="KH023"/>
    <s v="VT018"/>
    <s v="WH_HCM"/>
    <n v="6"/>
    <n v="6"/>
    <n v="648000"/>
    <n v="0.08"/>
    <s v="Completed"/>
    <d v="2026-02-21T00:00:00"/>
    <d v="2026-02-24T00:00:00"/>
    <s v="NV Bình"/>
    <m/>
    <n v="170"/>
    <s v="Khách hàng 023"/>
    <x v="1"/>
    <x v="3"/>
    <s v="Active"/>
    <x v="6"/>
    <s v="CAT06"/>
    <x v="1"/>
    <n v="480000"/>
    <n v="648000"/>
    <s v="Active"/>
    <s v="A"/>
    <s v="Kho HCM"/>
    <s v="Miền Nam"/>
    <x v="5"/>
    <n v="3576960"/>
    <n v="2880000"/>
    <n v="696960"/>
    <b v="1"/>
    <b v="1"/>
    <n v="0"/>
    <n v="3"/>
    <b v="1"/>
    <b v="0"/>
    <n v="3576960"/>
    <n v="696960"/>
    <n v="6"/>
    <n v="6"/>
    <n v="0"/>
    <n v="1"/>
    <n v="0"/>
    <n v="696960"/>
  </r>
  <r>
    <d v="2026-03-18T00:00:00"/>
    <s v="SO2603-0021"/>
    <n v="1"/>
    <s v="KH006"/>
    <s v="VT026"/>
    <s v="WH_HCM"/>
    <n v="25"/>
    <n v="24"/>
    <n v="146000"/>
    <n v="0"/>
    <s v="Completed"/>
    <d v="2026-03-28T00:00:00"/>
    <d v="2026-03-28T00:00:00"/>
    <s v="NV An"/>
    <m/>
    <n v="171"/>
    <s v="Khách hàng 006"/>
    <x v="2"/>
    <x v="0"/>
    <s v="Active"/>
    <x v="29"/>
    <s v="CAT02"/>
    <x v="3"/>
    <n v="120000"/>
    <n v="146000"/>
    <s v="Active"/>
    <s v="B"/>
    <s v="Kho HCM"/>
    <s v="Miền Nam"/>
    <x v="0"/>
    <n v="3504000"/>
    <n v="2880000"/>
    <n v="624000"/>
    <b v="1"/>
    <b v="1"/>
    <n v="1"/>
    <n v="0"/>
    <b v="1"/>
    <b v="0"/>
    <n v="3504000"/>
    <n v="624000"/>
    <n v="24"/>
    <n v="25"/>
    <n v="1"/>
    <n v="1"/>
    <n v="0"/>
    <n v="624000"/>
  </r>
  <r>
    <d v="2026-05-08T00:00:00"/>
    <s v="SO2605-0112"/>
    <n v="3"/>
    <s v="KH037"/>
    <s v="VT007"/>
    <s v="WH_HN"/>
    <n v="15"/>
    <n v="12"/>
    <n v="448000"/>
    <n v="0.05"/>
    <s v="Completed"/>
    <d v="2026-05-11T00:00:00"/>
    <d v="2026-05-10T00:00:00"/>
    <s v="NV An"/>
    <m/>
    <n v="172"/>
    <s v="Khách hàng 037"/>
    <x v="0"/>
    <x v="0"/>
    <s v="Active"/>
    <x v="25"/>
    <s v="CAT01"/>
    <x v="5"/>
    <n v="350000"/>
    <n v="448000"/>
    <s v="Discontinued"/>
    <s v="C"/>
    <s v="Kho Hà Nội"/>
    <s v="Miền Bắc"/>
    <x v="1"/>
    <n v="5107200"/>
    <n v="4200000"/>
    <n v="907200"/>
    <b v="1"/>
    <b v="1"/>
    <n v="1"/>
    <n v="-1"/>
    <b v="1"/>
    <b v="0"/>
    <n v="5107200"/>
    <n v="907200"/>
    <n v="12"/>
    <n v="15"/>
    <n v="1"/>
    <n v="1"/>
    <n v="0"/>
    <n v="907200"/>
  </r>
  <r>
    <d v="2026-06-25T00:00:00"/>
    <s v="SO2606-0072"/>
    <n v="1"/>
    <s v="KH012"/>
    <s v="VT021"/>
    <s v="WH_HN"/>
    <n v="14"/>
    <n v="14"/>
    <n v="413000"/>
    <n v="0"/>
    <s v="Completed"/>
    <d v="2026-06-28T00:00:00"/>
    <d v="2026-06-28T00:00:00"/>
    <s v="NV Bình"/>
    <m/>
    <n v="173"/>
    <s v="Khách hàng 012"/>
    <x v="1"/>
    <x v="0"/>
    <s v="Active"/>
    <x v="9"/>
    <s v="CAT03"/>
    <x v="4"/>
    <n v="350000"/>
    <n v="413000"/>
    <s v="Discontinued"/>
    <s v="C"/>
    <s v="Kho Hà Nội"/>
    <s v="Miền Bắc"/>
    <x v="3"/>
    <n v="5782000"/>
    <n v="4900000"/>
    <n v="882000"/>
    <b v="1"/>
    <b v="1"/>
    <n v="1"/>
    <n v="0"/>
    <b v="1"/>
    <b v="0"/>
    <n v="5782000"/>
    <n v="882000"/>
    <n v="14"/>
    <n v="14"/>
    <n v="1"/>
    <n v="1"/>
    <n v="0"/>
    <n v="882000"/>
  </r>
  <r>
    <d v="2026-05-26T00:00:00"/>
    <s v="SO2605-0100"/>
    <n v="3"/>
    <s v="KH025"/>
    <s v="VT009"/>
    <s v="WH_HN"/>
    <n v="33"/>
    <n v="22"/>
    <n v="566000"/>
    <n v="0"/>
    <s v="Open"/>
    <d v="2026-05-27T00:00:00"/>
    <m/>
    <s v="NV Dũng"/>
    <m/>
    <n v="174"/>
    <s v="Khách hàng 025"/>
    <x v="1"/>
    <x v="0"/>
    <s v="Active"/>
    <x v="35"/>
    <s v="CAT03"/>
    <x v="4"/>
    <n v="480000"/>
    <n v="566000"/>
    <s v="Active"/>
    <s v="A"/>
    <s v="Kho Hà Nội"/>
    <s v="Miền Bắc"/>
    <x v="1"/>
    <n v="12452000"/>
    <n v="10560000"/>
    <n v="1892000"/>
    <b v="1"/>
    <b v="0"/>
    <m/>
    <m/>
    <b v="1"/>
    <b v="0"/>
    <n v="12452000"/>
    <n v="1892000"/>
    <n v="22"/>
    <n v="33"/>
    <n v="0"/>
    <n v="0"/>
    <n v="0"/>
    <n v="1892000"/>
  </r>
  <r>
    <d v="2026-03-01T00:00:00"/>
    <s v="SO2603-0020"/>
    <n v="3"/>
    <s v="KH039"/>
    <s v="VT026"/>
    <s v="WH_DN"/>
    <n v="2"/>
    <n v="2"/>
    <n v="146000"/>
    <n v="0"/>
    <s v="Completed"/>
    <d v="2026-03-04T00:00:00"/>
    <d v="2026-03-06T00:00:00"/>
    <s v="NV Dũng"/>
    <m/>
    <n v="175"/>
    <s v="Khách hàng 039"/>
    <x v="2"/>
    <x v="3"/>
    <s v="Active"/>
    <x v="29"/>
    <s v="CAT02"/>
    <x v="3"/>
    <n v="120000"/>
    <n v="146000"/>
    <s v="Active"/>
    <s v="B"/>
    <s v="Kho Đà Nẵng"/>
    <s v="Miền Trung"/>
    <x v="0"/>
    <n v="292000"/>
    <n v="240000"/>
    <n v="52000"/>
    <b v="1"/>
    <b v="1"/>
    <n v="0"/>
    <n v="2"/>
    <b v="1"/>
    <b v="0"/>
    <n v="292000"/>
    <n v="52000"/>
    <n v="2"/>
    <n v="2"/>
    <n v="0"/>
    <n v="1"/>
    <n v="0"/>
    <n v="52000"/>
  </r>
  <r>
    <d v="2026-04-21T00:00:00"/>
    <s v="SO2604-0048"/>
    <n v="4"/>
    <s v="KH006"/>
    <s v="VT019"/>
    <s v="WH_DA"/>
    <n v="5"/>
    <n v="5"/>
    <n v="1152000"/>
    <n v="0.1"/>
    <s v="Completed"/>
    <d v="2026-05-01T00:00:00"/>
    <d v="2026-05-01T00:00:00"/>
    <s v="NV Dũng"/>
    <m/>
    <n v="176"/>
    <s v="Khách hàng 006"/>
    <x v="2"/>
    <x v="0"/>
    <s v="Active"/>
    <x v="27"/>
    <s v="CAT01"/>
    <x v="5"/>
    <n v="900000"/>
    <n v="1152000"/>
    <s v="Active"/>
    <s v="C"/>
    <s v="Kho Đông Anh"/>
    <s v="Miền Bắc"/>
    <x v="4"/>
    <n v="5184000"/>
    <n v="4500000"/>
    <n v="684000"/>
    <b v="1"/>
    <b v="1"/>
    <n v="1"/>
    <n v="0"/>
    <b v="1"/>
    <b v="0"/>
    <n v="5184000"/>
    <n v="684000"/>
    <n v="5"/>
    <n v="5"/>
    <n v="1"/>
    <n v="1"/>
    <n v="0"/>
    <n v="684000"/>
  </r>
  <r>
    <d v="2026-03-23T00:00:00"/>
    <s v="SO2603-0093"/>
    <n v="1"/>
    <s v="KH006"/>
    <s v="VT001"/>
    <s v="WH_DN"/>
    <n v="29"/>
    <n v="29"/>
    <n v="230000"/>
    <n v="0"/>
    <s v="Completed"/>
    <d v="2026-03-24T00:00:00"/>
    <d v="2026-03-24T00:00:00"/>
    <s v="NV Dũng"/>
    <m/>
    <n v="177"/>
    <s v="Khách hàng 006"/>
    <x v="2"/>
    <x v="0"/>
    <s v="Active"/>
    <x v="31"/>
    <s v="CAT01"/>
    <x v="5"/>
    <n v="180000"/>
    <n v="230000"/>
    <s v="Active"/>
    <s v="B"/>
    <s v="Kho Đà Nẵng"/>
    <s v="Miền Trung"/>
    <x v="0"/>
    <n v="6670000"/>
    <n v="5220000"/>
    <n v="1450000"/>
    <b v="1"/>
    <b v="1"/>
    <n v="1"/>
    <n v="0"/>
    <b v="1"/>
    <b v="0"/>
    <n v="6670000"/>
    <n v="1450000"/>
    <n v="29"/>
    <n v="29"/>
    <n v="1"/>
    <n v="1"/>
    <n v="0"/>
    <n v="1450000"/>
  </r>
  <r>
    <d v="2026-04-25T00:00:00"/>
    <s v="SO2604-0143"/>
    <n v="4"/>
    <s v="KH007"/>
    <s v="VT002"/>
    <s v="WH_HN"/>
    <n v="23"/>
    <n v="20"/>
    <n v="427000"/>
    <n v="0.02"/>
    <s v="Completed"/>
    <d v="2026-04-30T00:00:00"/>
    <d v="2026-04-29T00:00:00"/>
    <s v="NV Chi"/>
    <m/>
    <n v="178"/>
    <s v="Khách hàng 007"/>
    <x v="2"/>
    <x v="2"/>
    <s v="Active"/>
    <x v="4"/>
    <s v="CAT02"/>
    <x v="3"/>
    <n v="350000"/>
    <n v="427000"/>
    <s v="Active"/>
    <s v="C"/>
    <s v="Kho Hà Nội"/>
    <s v="Miền Bắc"/>
    <x v="4"/>
    <n v="8369200"/>
    <n v="7000000"/>
    <n v="1369200"/>
    <b v="1"/>
    <b v="1"/>
    <n v="1"/>
    <n v="-1"/>
    <b v="1"/>
    <b v="0"/>
    <n v="8369200"/>
    <n v="1369200"/>
    <n v="20"/>
    <n v="23"/>
    <n v="1"/>
    <n v="1"/>
    <n v="0"/>
    <n v="1369200"/>
  </r>
  <r>
    <d v="2026-04-16T00:00:00"/>
    <s v="SO2604-0100"/>
    <n v="1"/>
    <s v="KH036"/>
    <s v="VT999"/>
    <s v="WH_DA"/>
    <n v="25"/>
    <n v="25"/>
    <n v="845000"/>
    <n v="0.02"/>
    <s v="Completed"/>
    <d v="2026-04-21T00:00:00"/>
    <d v="2026-04-21T00:00:00"/>
    <s v="NV An"/>
    <s v="Sai master item"/>
    <n v="179"/>
    <s v="Khách hàng 036"/>
    <x v="0"/>
    <x v="0"/>
    <s v="Active"/>
    <x v="32"/>
    <m/>
    <x v="6"/>
    <m/>
    <m/>
    <m/>
    <m/>
    <s v="Kho Đông Anh"/>
    <s v="Miền Bắc"/>
    <x v="4"/>
    <n v="20702500"/>
    <m/>
    <n v="20702500"/>
    <b v="0"/>
    <b v="1"/>
    <n v="1"/>
    <n v="0"/>
    <b v="1"/>
    <b v="0"/>
    <n v="0"/>
    <n v="0"/>
    <n v="25"/>
    <n v="25"/>
    <n v="1"/>
    <n v="1"/>
    <n v="0"/>
    <n v="0"/>
  </r>
  <r>
    <d v="2026-02-12T00:00:00"/>
    <s v="SO2602-0112"/>
    <n v="3"/>
    <s v="KH027"/>
    <s v="VT020"/>
    <s v="WH_HCM"/>
    <n v="5"/>
    <n v="4"/>
    <n v="793000"/>
    <n v="0.1"/>
    <s v="Completed"/>
    <d v="2026-02-17T00:00:00"/>
    <d v="2026-02-19T00:00:00"/>
    <s v="NV Bình"/>
    <m/>
    <n v="180"/>
    <s v="Khách hàng 027"/>
    <x v="2"/>
    <x v="0"/>
    <s v="Active"/>
    <x v="36"/>
    <s v="CAT02"/>
    <x v="3"/>
    <n v="650000"/>
    <n v="793000"/>
    <s v="Active"/>
    <s v="B"/>
    <s v="Kho HCM"/>
    <s v="Miền Nam"/>
    <x v="5"/>
    <n v="2854800"/>
    <n v="2600000"/>
    <n v="254800"/>
    <b v="1"/>
    <b v="1"/>
    <n v="0"/>
    <n v="2"/>
    <b v="1"/>
    <b v="0"/>
    <n v="2854800"/>
    <n v="254800"/>
    <n v="4"/>
    <n v="5"/>
    <n v="0"/>
    <n v="1"/>
    <n v="0"/>
    <n v="254800"/>
  </r>
  <r>
    <d v="2026-04-28T00:00:00"/>
    <s v="SO2604-0028"/>
    <n v="2"/>
    <s v="KH020"/>
    <s v="VT001"/>
    <s v="WH_HCM"/>
    <n v="22"/>
    <n v="12"/>
    <n v="230000"/>
    <n v="0.02"/>
    <s v="Open"/>
    <d v="2026-05-03T00:00:00"/>
    <m/>
    <s v="NV Chi"/>
    <m/>
    <n v="181"/>
    <s v="Khách hàng 020"/>
    <x v="1"/>
    <x v="0"/>
    <s v="Active"/>
    <x v="31"/>
    <s v="CAT01"/>
    <x v="5"/>
    <n v="180000"/>
    <n v="230000"/>
    <s v="Active"/>
    <s v="B"/>
    <s v="Kho HCM"/>
    <s v="Miền Nam"/>
    <x v="4"/>
    <n v="2704800"/>
    <n v="2160000"/>
    <n v="544800"/>
    <b v="1"/>
    <b v="0"/>
    <m/>
    <m/>
    <b v="1"/>
    <b v="0"/>
    <n v="2704800"/>
    <n v="544800"/>
    <n v="12"/>
    <n v="22"/>
    <n v="0"/>
    <n v="0"/>
    <n v="0"/>
    <n v="544800"/>
  </r>
  <r>
    <d v="2026-04-21T00:00:00"/>
    <s v="SO2604-0035"/>
    <n v="3"/>
    <s v="KH021"/>
    <s v="VT013"/>
    <s v="WH_HCM"/>
    <n v="21"/>
    <n v="21"/>
    <n v="614000"/>
    <n v="0.02"/>
    <s v="Completed"/>
    <d v="2026-05-01T00:00:00"/>
    <d v="2026-05-04T00:00:00"/>
    <s v="NV Dũng"/>
    <m/>
    <n v="182"/>
    <s v="Khách hàng 021"/>
    <x v="0"/>
    <x v="3"/>
    <s v="Active"/>
    <x v="12"/>
    <s v="CAT01"/>
    <x v="5"/>
    <n v="480000"/>
    <n v="614000"/>
    <s v="Active"/>
    <s v="B"/>
    <s v="Kho HCM"/>
    <s v="Miền Nam"/>
    <x v="4"/>
    <n v="12636120"/>
    <n v="10080000"/>
    <n v="2556120"/>
    <b v="1"/>
    <b v="1"/>
    <n v="0"/>
    <n v="3"/>
    <b v="1"/>
    <b v="0"/>
    <n v="12636120"/>
    <n v="2556120"/>
    <n v="21"/>
    <n v="21"/>
    <n v="0"/>
    <n v="1"/>
    <n v="0"/>
    <n v="2556120"/>
  </r>
  <r>
    <d v="2026-05-28T00:00:00"/>
    <s v="SO2605-0063"/>
    <n v="3"/>
    <s v="KH025"/>
    <s v="VT018"/>
    <s v="WH_HCM"/>
    <n v="24"/>
    <n v="24"/>
    <n v="648000"/>
    <n v="0.08"/>
    <s v="Completed"/>
    <d v="2026-06-04T00:00:00"/>
    <d v="2026-06-04T00:00:00"/>
    <s v="NV An"/>
    <m/>
    <n v="183"/>
    <s v="Khách hàng 025"/>
    <x v="1"/>
    <x v="0"/>
    <s v="Active"/>
    <x v="6"/>
    <s v="CAT06"/>
    <x v="1"/>
    <n v="480000"/>
    <n v="648000"/>
    <s v="Active"/>
    <s v="A"/>
    <s v="Kho HCM"/>
    <s v="Miền Nam"/>
    <x v="1"/>
    <n v="14307840"/>
    <n v="11520000"/>
    <n v="2787840"/>
    <b v="1"/>
    <b v="1"/>
    <n v="1"/>
    <n v="0"/>
    <b v="1"/>
    <b v="0"/>
    <n v="14307840"/>
    <n v="2787840"/>
    <n v="24"/>
    <n v="24"/>
    <n v="1"/>
    <n v="1"/>
    <n v="0"/>
    <n v="2787840"/>
  </r>
  <r>
    <d v="2026-04-29T00:00:00"/>
    <s v="SO2604-0054"/>
    <n v="4"/>
    <s v="KH019"/>
    <s v="VT005"/>
    <s v="WH_HCM"/>
    <n v="32"/>
    <n v="32"/>
    <n v="150000"/>
    <n v="0.02"/>
    <s v="Completed"/>
    <d v="2026-05-09T00:00:00"/>
    <d v="2026-05-09T00:00:00"/>
    <s v="NV Dũng"/>
    <m/>
    <n v="184"/>
    <s v="Khách hàng 019"/>
    <x v="2"/>
    <x v="1"/>
    <s v="Active"/>
    <x v="2"/>
    <s v="CAT05"/>
    <x v="2"/>
    <n v="120000"/>
    <n v="150000"/>
    <s v="Active"/>
    <s v="A"/>
    <s v="Kho HCM"/>
    <s v="Miền Nam"/>
    <x v="4"/>
    <n v="4704000"/>
    <n v="3840000"/>
    <n v="864000"/>
    <b v="1"/>
    <b v="1"/>
    <n v="1"/>
    <n v="0"/>
    <b v="1"/>
    <b v="0"/>
    <n v="4704000"/>
    <n v="864000"/>
    <n v="32"/>
    <n v="32"/>
    <n v="1"/>
    <n v="1"/>
    <n v="0"/>
    <n v="864000"/>
  </r>
  <r>
    <d v="2026-04-07T00:00:00"/>
    <s v="SO2604-0019"/>
    <n v="4"/>
    <s v="KH039"/>
    <s v="VT031"/>
    <s v="WH_HCM"/>
    <n v="35"/>
    <n v="35"/>
    <n v="2304000"/>
    <n v="0.08"/>
    <s v="Completed"/>
    <d v="2026-04-08T00:00:00"/>
    <d v="2026-04-15T00:00:00"/>
    <s v="NV Chi"/>
    <m/>
    <n v="185"/>
    <s v="Khách hàng 039"/>
    <x v="2"/>
    <x v="3"/>
    <s v="Active"/>
    <x v="30"/>
    <s v="CAT01"/>
    <x v="5"/>
    <n v="1800000"/>
    <n v="2304000"/>
    <s v="Active"/>
    <s v="C"/>
    <s v="Kho HCM"/>
    <s v="Miền Nam"/>
    <x v="4"/>
    <n v="74188800"/>
    <n v="63000000"/>
    <n v="11188800"/>
    <b v="1"/>
    <b v="1"/>
    <n v="0"/>
    <n v="7"/>
    <b v="1"/>
    <b v="0"/>
    <n v="74188800"/>
    <n v="11188800"/>
    <n v="35"/>
    <n v="35"/>
    <n v="0"/>
    <n v="1"/>
    <n v="0"/>
    <n v="11188800"/>
  </r>
  <r>
    <d v="2026-06-29T00:00:00"/>
    <s v="SO2606-0138"/>
    <n v="1"/>
    <s v="KH007"/>
    <s v="VT016"/>
    <s v="WH_DN"/>
    <n v="11"/>
    <n v="10"/>
    <n v="845000"/>
    <n v="0.1"/>
    <s v="Completed"/>
    <d v="2026-07-09T00:00:00"/>
    <d v="2026-07-12T00:00:00"/>
    <s v="NV Dũng"/>
    <m/>
    <n v="186"/>
    <s v="Khách hàng 007"/>
    <x v="2"/>
    <x v="2"/>
    <s v="Active"/>
    <x v="13"/>
    <s v="CAT04"/>
    <x v="0"/>
    <n v="650000"/>
    <n v="845000"/>
    <s v="Active"/>
    <s v="C"/>
    <s v="Kho Đà Nẵng"/>
    <s v="Miền Trung"/>
    <x v="3"/>
    <n v="7605000"/>
    <n v="6500000"/>
    <n v="1105000"/>
    <b v="1"/>
    <b v="1"/>
    <n v="0"/>
    <n v="3"/>
    <b v="1"/>
    <b v="0"/>
    <n v="7605000"/>
    <n v="1105000"/>
    <n v="10"/>
    <n v="11"/>
    <n v="0"/>
    <n v="1"/>
    <n v="0"/>
    <n v="1105000"/>
  </r>
  <r>
    <d v="2026-03-26T00:00:00"/>
    <s v="SO2603-0111"/>
    <n v="1"/>
    <s v="KH001"/>
    <s v="VT007"/>
    <s v="WH_DN"/>
    <n v="15"/>
    <n v="12"/>
    <n v="448000"/>
    <n v="0.08"/>
    <s v="Completed"/>
    <d v="2026-04-05T00:00:00"/>
    <d v="2026-04-07T00:00:00"/>
    <s v="NV Bình"/>
    <m/>
    <n v="187"/>
    <s v="Khách hàng 001"/>
    <x v="0"/>
    <x v="2"/>
    <s v="Active"/>
    <x v="25"/>
    <s v="CAT01"/>
    <x v="5"/>
    <n v="350000"/>
    <n v="448000"/>
    <s v="Discontinued"/>
    <s v="C"/>
    <s v="Kho Đà Nẵng"/>
    <s v="Miền Trung"/>
    <x v="0"/>
    <n v="4945920"/>
    <n v="4200000"/>
    <n v="745920"/>
    <b v="1"/>
    <b v="1"/>
    <n v="0"/>
    <n v="2"/>
    <b v="1"/>
    <b v="0"/>
    <n v="4945920"/>
    <n v="745920"/>
    <n v="12"/>
    <n v="15"/>
    <n v="0"/>
    <n v="1"/>
    <n v="0"/>
    <n v="745920"/>
  </r>
  <r>
    <d v="2026-04-25T00:00:00"/>
    <s v="SO2604-0096"/>
    <n v="4"/>
    <s v="KH030"/>
    <s v="VT033"/>
    <s v="WH_DA"/>
    <n v="-8"/>
    <n v="-8"/>
    <n v="413000"/>
    <n v="0"/>
    <s v="Return"/>
    <d v="2026-04-28T00:00:00"/>
    <d v="2026-04-29T00:00:00"/>
    <s v="NV An"/>
    <m/>
    <n v="188"/>
    <s v="Khách hàng 030"/>
    <x v="2"/>
    <x v="1"/>
    <s v="Active"/>
    <x v="11"/>
    <s v="CAT03"/>
    <x v="4"/>
    <n v="350000"/>
    <n v="413000"/>
    <s v="Active"/>
    <s v="B"/>
    <s v="Kho Đông Anh"/>
    <s v="Miền Bắc"/>
    <x v="4"/>
    <n v="-3304000"/>
    <n v="-2800000"/>
    <n v="-504000"/>
    <b v="1"/>
    <b v="1"/>
    <n v="0"/>
    <n v="1"/>
    <b v="0"/>
    <b v="1"/>
    <n v="-3304000"/>
    <n v="-504000"/>
    <n v="0"/>
    <n v="0"/>
    <n v="0"/>
    <n v="1"/>
    <n v="-3304000"/>
    <n v="-504000"/>
  </r>
  <r>
    <d v="2026-01-30T00:00:00"/>
    <s v="SO2601-0037"/>
    <n v="3"/>
    <s v="KH020"/>
    <s v="VT022"/>
    <s v="WH_HCM"/>
    <n v="14"/>
    <n v="14"/>
    <n v="234000"/>
    <n v="0"/>
    <s v="Completed"/>
    <d v="2026-02-04T00:00:00"/>
    <d v="2026-02-07T00:00:00"/>
    <s v="NV Dũng"/>
    <m/>
    <n v="189"/>
    <s v="Khách hàng 020"/>
    <x v="1"/>
    <x v="0"/>
    <s v="Active"/>
    <x v="28"/>
    <s v="CAT04"/>
    <x v="0"/>
    <n v="180000"/>
    <n v="234000"/>
    <s v="Active"/>
    <s v="A"/>
    <s v="Kho HCM"/>
    <s v="Miền Nam"/>
    <x v="2"/>
    <n v="3276000"/>
    <n v="2520000"/>
    <n v="756000"/>
    <b v="1"/>
    <b v="1"/>
    <n v="0"/>
    <n v="3"/>
    <b v="1"/>
    <b v="0"/>
    <n v="3276000"/>
    <n v="756000"/>
    <n v="14"/>
    <n v="14"/>
    <n v="0"/>
    <n v="1"/>
    <n v="0"/>
    <n v="756000"/>
  </r>
  <r>
    <d v="2026-03-23T00:00:00"/>
    <s v="SO2603-0018"/>
    <n v="3"/>
    <s v="KH003"/>
    <s v="VT008"/>
    <s v="WH_HN"/>
    <n v="22"/>
    <n v="22"/>
    <n v="2196000"/>
    <n v="0.1"/>
    <s v="Completed"/>
    <d v="2026-03-25T00:00:00"/>
    <d v="2026-03-27T00:00:00"/>
    <s v="NV Bình"/>
    <m/>
    <n v="190"/>
    <s v="Khách hàng 003"/>
    <x v="2"/>
    <x v="2"/>
    <s v="Active"/>
    <x v="24"/>
    <s v="CAT02"/>
    <x v="3"/>
    <n v="1800000"/>
    <n v="2196000"/>
    <s v="Active"/>
    <s v="B"/>
    <s v="Kho Hà Nội"/>
    <s v="Miền Bắc"/>
    <x v="0"/>
    <n v="43480800"/>
    <n v="39600000"/>
    <n v="3880800"/>
    <b v="1"/>
    <b v="1"/>
    <n v="0"/>
    <n v="2"/>
    <b v="1"/>
    <b v="0"/>
    <n v="43480800"/>
    <n v="3880800"/>
    <n v="22"/>
    <n v="22"/>
    <n v="0"/>
    <n v="1"/>
    <n v="0"/>
    <n v="3880800"/>
  </r>
  <r>
    <d v="2026-05-22T00:00:00"/>
    <s v="SO2605-0041"/>
    <n v="3"/>
    <s v="KH036"/>
    <s v="VT028"/>
    <s v="WH_HCM"/>
    <n v="15"/>
    <n v="10"/>
    <n v="845000"/>
    <n v="0"/>
    <s v="Open"/>
    <d v="2026-05-24T00:00:00"/>
    <m/>
    <s v="NV Dũng"/>
    <m/>
    <n v="191"/>
    <s v="Khách hàng 036"/>
    <x v="0"/>
    <x v="0"/>
    <s v="Active"/>
    <x v="8"/>
    <s v="CAT04"/>
    <x v="0"/>
    <n v="650000"/>
    <n v="845000"/>
    <s v="Active"/>
    <s v="B"/>
    <s v="Kho HCM"/>
    <s v="Miền Nam"/>
    <x v="1"/>
    <n v="8450000"/>
    <n v="6500000"/>
    <n v="1950000"/>
    <b v="1"/>
    <b v="0"/>
    <m/>
    <m/>
    <b v="1"/>
    <b v="0"/>
    <n v="8450000"/>
    <n v="1950000"/>
    <n v="10"/>
    <n v="15"/>
    <n v="0"/>
    <n v="0"/>
    <n v="0"/>
    <n v="1950000"/>
  </r>
  <r>
    <d v="2026-04-12T00:00:00"/>
    <s v="SO2604-0008"/>
    <n v="2"/>
    <s v="KH029"/>
    <s v="VT028"/>
    <s v="WH_HCM"/>
    <n v="1"/>
    <n v="0"/>
    <n v="845000"/>
    <n v="0"/>
    <s v="Open"/>
    <d v="2026-04-15T00:00:00"/>
    <m/>
    <s v="NV An"/>
    <m/>
    <n v="192"/>
    <s v="Khách hàng 029"/>
    <x v="1"/>
    <x v="3"/>
    <s v="Active"/>
    <x v="8"/>
    <s v="CAT04"/>
    <x v="0"/>
    <n v="650000"/>
    <n v="845000"/>
    <s v="Active"/>
    <s v="B"/>
    <s v="Kho HCM"/>
    <s v="Miền Nam"/>
    <x v="4"/>
    <n v="0"/>
    <n v="0"/>
    <n v="0"/>
    <b v="1"/>
    <b v="0"/>
    <m/>
    <m/>
    <b v="1"/>
    <b v="0"/>
    <n v="0"/>
    <n v="0"/>
    <n v="0"/>
    <n v="1"/>
    <n v="0"/>
    <n v="0"/>
    <n v="0"/>
    <n v="0"/>
  </r>
  <r>
    <d v="2026-05-28T00:00:00"/>
    <s v="SO2605-0027"/>
    <n v="2"/>
    <s v="KH024"/>
    <s v="VT021"/>
    <s v="WH_DA"/>
    <n v="30"/>
    <n v="30"/>
    <n v="413000"/>
    <n v="0.08"/>
    <s v="Completed"/>
    <d v="2026-06-07T00:00:00"/>
    <d v="2026-06-07T00:00:00"/>
    <s v="NV Dũng"/>
    <m/>
    <n v="193"/>
    <s v="Khách hàng 024"/>
    <x v="1"/>
    <x v="3"/>
    <s v="Active"/>
    <x v="9"/>
    <s v="CAT03"/>
    <x v="4"/>
    <n v="350000"/>
    <n v="413000"/>
    <s v="Discontinued"/>
    <s v="C"/>
    <s v="Kho Đông Anh"/>
    <s v="Miền Bắc"/>
    <x v="1"/>
    <n v="11398800"/>
    <n v="10500000"/>
    <n v="898800"/>
    <b v="1"/>
    <b v="1"/>
    <n v="1"/>
    <n v="0"/>
    <b v="1"/>
    <b v="0"/>
    <n v="11398800"/>
    <n v="898800"/>
    <n v="30"/>
    <n v="30"/>
    <n v="1"/>
    <n v="1"/>
    <n v="0"/>
    <n v="898800"/>
  </r>
  <r>
    <d v="2026-06-06T00:00:00"/>
    <s v="SO2606-0101"/>
    <n v="1"/>
    <s v="KH023"/>
    <s v="VT023"/>
    <s v="WH_HCM"/>
    <n v="12"/>
    <n v="11"/>
    <n v="2250000"/>
    <n v="0.02"/>
    <s v="Open"/>
    <d v="2026-06-13T00:00:00"/>
    <m/>
    <s v="NV An"/>
    <m/>
    <n v="194"/>
    <s v="Khách hàng 023"/>
    <x v="1"/>
    <x v="3"/>
    <s v="Active"/>
    <x v="3"/>
    <s v="CAT05"/>
    <x v="2"/>
    <n v="1800000"/>
    <n v="2250000"/>
    <s v="Active"/>
    <s v="A"/>
    <s v="Kho HCM"/>
    <s v="Miền Nam"/>
    <x v="3"/>
    <n v="24255000"/>
    <n v="19800000"/>
    <n v="4455000"/>
    <b v="1"/>
    <b v="0"/>
    <m/>
    <m/>
    <b v="1"/>
    <b v="0"/>
    <n v="24255000"/>
    <n v="4455000"/>
    <n v="11"/>
    <n v="12"/>
    <n v="0"/>
    <n v="0"/>
    <n v="0"/>
    <n v="4455000"/>
  </r>
  <r>
    <d v="2026-06-22T00:00:00"/>
    <s v="SO2606-0035"/>
    <n v="3"/>
    <s v="KH008"/>
    <s v="VT016"/>
    <s v="WH_DN"/>
    <n v="8"/>
    <n v="8"/>
    <n v="845000"/>
    <n v="0.08"/>
    <s v="Completed"/>
    <d v="2026-06-27T00:00:00"/>
    <d v="2026-06-28T00:00:00"/>
    <s v="NV Bình"/>
    <m/>
    <n v="195"/>
    <s v="Khách hàng 008"/>
    <x v="1"/>
    <x v="2"/>
    <s v="Active"/>
    <x v="13"/>
    <s v="CAT04"/>
    <x v="0"/>
    <n v="650000"/>
    <n v="845000"/>
    <s v="Active"/>
    <s v="C"/>
    <s v="Kho Đà Nẵng"/>
    <s v="Miền Trung"/>
    <x v="3"/>
    <n v="6219200"/>
    <n v="5200000"/>
    <n v="1019200"/>
    <b v="1"/>
    <b v="1"/>
    <n v="0"/>
    <n v="1"/>
    <b v="1"/>
    <b v="0"/>
    <n v="6219200"/>
    <n v="1019200"/>
    <n v="8"/>
    <n v="8"/>
    <n v="0"/>
    <n v="1"/>
    <n v="0"/>
    <n v="1019200"/>
  </r>
  <r>
    <d v="2026-05-28T00:00:00"/>
    <s v="SO2605-0099"/>
    <n v="4"/>
    <s v="KH012"/>
    <s v="VT032"/>
    <s v="WH_DA"/>
    <n v="11"/>
    <n v="11"/>
    <n v="1098000"/>
    <n v="0.02"/>
    <s v="Completed"/>
    <d v="2026-06-02T00:00:00"/>
    <d v="2026-06-04T00:00:00"/>
    <s v="NV An"/>
    <m/>
    <n v="196"/>
    <s v="Khách hàng 012"/>
    <x v="1"/>
    <x v="0"/>
    <s v="Active"/>
    <x v="17"/>
    <s v="CAT02"/>
    <x v="3"/>
    <n v="900000"/>
    <n v="1098000"/>
    <s v="Active"/>
    <s v="B"/>
    <s v="Kho Đông Anh"/>
    <s v="Miền Bắc"/>
    <x v="1"/>
    <n v="11836440"/>
    <n v="9900000"/>
    <n v="1936440"/>
    <b v="1"/>
    <b v="1"/>
    <n v="0"/>
    <n v="2"/>
    <b v="1"/>
    <b v="0"/>
    <n v="11836440"/>
    <n v="1936440"/>
    <n v="11"/>
    <n v="11"/>
    <n v="0"/>
    <n v="1"/>
    <n v="0"/>
    <n v="1936440"/>
  </r>
  <r>
    <d v="2026-04-02T00:00:00"/>
    <s v="SO2604-0003"/>
    <n v="4"/>
    <s v="KH009"/>
    <s v="VT013"/>
    <s v="WH_HCM"/>
    <n v="33"/>
    <n v="31"/>
    <n v="614000"/>
    <n v="0.05"/>
    <s v="Completed"/>
    <d v="2026-04-07T00:00:00"/>
    <d v="2026-04-10T00:00:00"/>
    <s v="NV Dũng"/>
    <m/>
    <n v="197"/>
    <s v="Khách hàng 009"/>
    <x v="2"/>
    <x v="3"/>
    <s v="Inactive"/>
    <x v="12"/>
    <s v="CAT01"/>
    <x v="5"/>
    <n v="480000"/>
    <n v="614000"/>
    <s v="Active"/>
    <s v="B"/>
    <s v="Kho HCM"/>
    <s v="Miền Nam"/>
    <x v="4"/>
    <n v="18082300"/>
    <n v="14880000"/>
    <n v="3202300"/>
    <b v="1"/>
    <b v="1"/>
    <n v="0"/>
    <n v="3"/>
    <b v="1"/>
    <b v="0"/>
    <n v="18082300"/>
    <n v="3202300"/>
    <n v="31"/>
    <n v="33"/>
    <n v="0"/>
    <n v="1"/>
    <n v="0"/>
    <n v="3202300"/>
  </r>
  <r>
    <d v="2026-05-06T00:00:00"/>
    <s v="SO2605-0043"/>
    <n v="1"/>
    <s v="KH037"/>
    <s v="VT002"/>
    <s v="WH_DA"/>
    <n v="19"/>
    <n v="18"/>
    <n v="427000"/>
    <n v="0.02"/>
    <s v="Completed"/>
    <d v="2026-05-08T00:00:00"/>
    <d v="2026-05-15T00:00:00"/>
    <s v="NV Dũng"/>
    <m/>
    <n v="198"/>
    <s v="Khách hàng 037"/>
    <x v="0"/>
    <x v="0"/>
    <s v="Active"/>
    <x v="4"/>
    <s v="CAT02"/>
    <x v="3"/>
    <n v="350000"/>
    <n v="427000"/>
    <s v="Active"/>
    <s v="C"/>
    <s v="Kho Đông Anh"/>
    <s v="Miền Bắc"/>
    <x v="1"/>
    <n v="7532280"/>
    <n v="6300000"/>
    <n v="1232280"/>
    <b v="1"/>
    <b v="1"/>
    <n v="0"/>
    <n v="7"/>
    <b v="1"/>
    <b v="0"/>
    <n v="7532280"/>
    <n v="1232280"/>
    <n v="18"/>
    <n v="19"/>
    <n v="0"/>
    <n v="1"/>
    <n v="0"/>
    <n v="1232280"/>
  </r>
  <r>
    <d v="2026-05-25T00:00:00"/>
    <s v="SO2605-0127"/>
    <n v="1"/>
    <s v="KH037"/>
    <s v="VT008"/>
    <s v="WH_DN"/>
    <n v="35"/>
    <n v="23"/>
    <n v="2196000"/>
    <n v="0.08"/>
    <s v="Open"/>
    <d v="2026-05-26T00:00:00"/>
    <m/>
    <s v="NV Dũng"/>
    <m/>
    <n v="199"/>
    <s v="Khách hàng 037"/>
    <x v="0"/>
    <x v="0"/>
    <s v="Active"/>
    <x v="24"/>
    <s v="CAT02"/>
    <x v="3"/>
    <n v="1800000"/>
    <n v="2196000"/>
    <s v="Active"/>
    <s v="B"/>
    <s v="Kho Đà Nẵng"/>
    <s v="Miền Trung"/>
    <x v="1"/>
    <n v="46467360"/>
    <n v="41400000"/>
    <n v="5067360"/>
    <b v="1"/>
    <b v="0"/>
    <m/>
    <m/>
    <b v="1"/>
    <b v="0"/>
    <n v="46467360"/>
    <n v="5067360"/>
    <n v="23"/>
    <n v="35"/>
    <n v="0"/>
    <n v="0"/>
    <n v="0"/>
    <n v="5067360"/>
  </r>
  <r>
    <d v="2026-05-20T00:00:00"/>
    <s v="SO2605-0056"/>
    <n v="4"/>
    <s v="KH007"/>
    <s v="VT016"/>
    <s v="WH_DN"/>
    <n v="3"/>
    <n v="3"/>
    <n v="845000"/>
    <n v="0.05"/>
    <s v="Completed"/>
    <d v="2026-05-21T00:00:00"/>
    <d v="2026-05-28T00:00:00"/>
    <s v="NV Bình"/>
    <m/>
    <n v="200"/>
    <s v="Khách hàng 007"/>
    <x v="2"/>
    <x v="2"/>
    <s v="Active"/>
    <x v="13"/>
    <s v="CAT04"/>
    <x v="0"/>
    <n v="650000"/>
    <n v="845000"/>
    <s v="Active"/>
    <s v="C"/>
    <s v="Kho Đà Nẵng"/>
    <s v="Miền Trung"/>
    <x v="1"/>
    <n v="2408250"/>
    <n v="1950000"/>
    <n v="458250"/>
    <b v="1"/>
    <b v="1"/>
    <n v="0"/>
    <n v="7"/>
    <b v="1"/>
    <b v="0"/>
    <n v="2408250"/>
    <n v="458250"/>
    <n v="3"/>
    <n v="3"/>
    <n v="0"/>
    <n v="1"/>
    <n v="0"/>
    <n v="458250"/>
  </r>
  <r>
    <d v="2026-02-23T00:00:00"/>
    <s v="SO2602-0090"/>
    <n v="4"/>
    <s v="KH011"/>
    <s v="VT009"/>
    <s v="WH_DA"/>
    <n v="14"/>
    <n v="9"/>
    <n v="566000"/>
    <n v="0.02"/>
    <s v="Open"/>
    <d v="2026-03-02T00:00:00"/>
    <m/>
    <s v="NV Chi"/>
    <m/>
    <n v="201"/>
    <s v="Khách hàng 011"/>
    <x v="0"/>
    <x v="2"/>
    <s v="Active"/>
    <x v="35"/>
    <s v="CAT03"/>
    <x v="4"/>
    <n v="480000"/>
    <n v="566000"/>
    <s v="Active"/>
    <s v="A"/>
    <s v="Kho Đông Anh"/>
    <s v="Miền Bắc"/>
    <x v="5"/>
    <n v="4992120"/>
    <n v="4320000"/>
    <n v="672120"/>
    <b v="1"/>
    <b v="0"/>
    <m/>
    <m/>
    <b v="1"/>
    <b v="0"/>
    <n v="4992120"/>
    <n v="672120"/>
    <n v="9"/>
    <n v="14"/>
    <n v="0"/>
    <n v="0"/>
    <n v="0"/>
    <n v="672120"/>
  </r>
  <r>
    <d v="2026-06-02T00:00:00"/>
    <s v="SO2606-0138"/>
    <n v="2"/>
    <s v="KH021"/>
    <s v="VT019"/>
    <s v="WH_DN"/>
    <n v="-9"/>
    <n v="-9"/>
    <n v="1152000"/>
    <n v="0.1"/>
    <s v="Return"/>
    <d v="2026-06-03T00:00:00"/>
    <d v="2026-06-03T00:00:00"/>
    <s v="NV Dũng"/>
    <m/>
    <n v="202"/>
    <s v="Khách hàng 021"/>
    <x v="0"/>
    <x v="3"/>
    <s v="Active"/>
    <x v="27"/>
    <s v="CAT01"/>
    <x v="5"/>
    <n v="900000"/>
    <n v="1152000"/>
    <s v="Active"/>
    <s v="C"/>
    <s v="Kho Đà Nẵng"/>
    <s v="Miền Trung"/>
    <x v="3"/>
    <n v="-9331200"/>
    <n v="-8100000"/>
    <n v="-1231200"/>
    <b v="1"/>
    <b v="1"/>
    <n v="1"/>
    <n v="0"/>
    <b v="0"/>
    <b v="1"/>
    <n v="-9331200"/>
    <n v="-1231200"/>
    <n v="0"/>
    <n v="0"/>
    <n v="1"/>
    <n v="1"/>
    <n v="-9331200"/>
    <n v="-1231200"/>
  </r>
  <r>
    <d v="2026-01-16T00:00:00"/>
    <s v="SO2601-0071"/>
    <n v="2"/>
    <s v="KH009"/>
    <s v="VT016"/>
    <s v="WH_DA"/>
    <n v="21"/>
    <n v="12"/>
    <n v="845000"/>
    <n v="0.05"/>
    <s v="Open"/>
    <d v="2026-01-18T00:00:00"/>
    <m/>
    <s v="NV Chi"/>
    <m/>
    <n v="203"/>
    <s v="Khách hàng 009"/>
    <x v="2"/>
    <x v="3"/>
    <s v="Inactive"/>
    <x v="13"/>
    <s v="CAT04"/>
    <x v="0"/>
    <n v="650000"/>
    <n v="845000"/>
    <s v="Active"/>
    <s v="C"/>
    <s v="Kho Đông Anh"/>
    <s v="Miền Bắc"/>
    <x v="2"/>
    <n v="9633000"/>
    <n v="7800000"/>
    <n v="1833000"/>
    <b v="1"/>
    <b v="0"/>
    <m/>
    <m/>
    <b v="1"/>
    <b v="0"/>
    <n v="9633000"/>
    <n v="1833000"/>
    <n v="12"/>
    <n v="21"/>
    <n v="0"/>
    <n v="0"/>
    <n v="0"/>
    <n v="1833000"/>
  </r>
  <r>
    <d v="2026-06-10T00:00:00"/>
    <s v="SO2606-0107"/>
    <n v="4"/>
    <s v="KH029"/>
    <s v="VT005"/>
    <s v="WH_HN"/>
    <n v="26"/>
    <n v="24"/>
    <n v="150000"/>
    <n v="0.02"/>
    <s v="Completed"/>
    <d v="2026-06-15T00:00:00"/>
    <d v="2026-06-16T00:00:00"/>
    <s v="NV Chi"/>
    <m/>
    <n v="204"/>
    <s v="Khách hàng 029"/>
    <x v="1"/>
    <x v="3"/>
    <s v="Active"/>
    <x v="2"/>
    <s v="CAT05"/>
    <x v="2"/>
    <n v="120000"/>
    <n v="150000"/>
    <s v="Active"/>
    <s v="A"/>
    <s v="Kho Hà Nội"/>
    <s v="Miền Bắc"/>
    <x v="3"/>
    <n v="3528000"/>
    <n v="2880000"/>
    <n v="648000"/>
    <b v="1"/>
    <b v="1"/>
    <n v="0"/>
    <n v="1"/>
    <b v="1"/>
    <b v="0"/>
    <n v="3528000"/>
    <n v="648000"/>
    <n v="24"/>
    <n v="26"/>
    <n v="0"/>
    <n v="1"/>
    <n v="0"/>
    <n v="648000"/>
  </r>
  <r>
    <d v="2026-05-29T00:00:00"/>
    <s v="SO2605-0001"/>
    <n v="1"/>
    <s v="KH030"/>
    <s v="VT023"/>
    <s v="WH_HN"/>
    <n v="35"/>
    <n v="35"/>
    <n v="2250000"/>
    <n v="0.05"/>
    <s v="Completed"/>
    <d v="2026-06-01T00:00:00"/>
    <d v="2026-06-01T00:00:00"/>
    <s v="NV Chi"/>
    <m/>
    <n v="205"/>
    <s v="Khách hàng 030"/>
    <x v="2"/>
    <x v="1"/>
    <s v="Active"/>
    <x v="3"/>
    <s v="CAT05"/>
    <x v="2"/>
    <n v="1800000"/>
    <n v="2250000"/>
    <s v="Active"/>
    <s v="A"/>
    <s v="Kho Hà Nội"/>
    <s v="Miền Bắc"/>
    <x v="1"/>
    <n v="74812500"/>
    <n v="63000000"/>
    <n v="11812500"/>
    <b v="1"/>
    <b v="1"/>
    <n v="1"/>
    <n v="0"/>
    <b v="1"/>
    <b v="0"/>
    <n v="74812500"/>
    <n v="11812500"/>
    <n v="35"/>
    <n v="35"/>
    <n v="1"/>
    <n v="1"/>
    <n v="0"/>
    <n v="11812500"/>
  </r>
  <r>
    <d v="2026-03-28T00:00:00"/>
    <s v="SO2603-0141"/>
    <n v="2"/>
    <s v="KH037"/>
    <s v="VT032"/>
    <s v="WH_DN"/>
    <n v="4"/>
    <n v="4"/>
    <n v="1098000"/>
    <n v="0"/>
    <s v="Completed"/>
    <d v="2026-03-29T00:00:00"/>
    <d v="2026-04-05T00:00:00"/>
    <s v="NV Bình"/>
    <m/>
    <n v="206"/>
    <s v="Khách hàng 037"/>
    <x v="0"/>
    <x v="0"/>
    <s v="Active"/>
    <x v="17"/>
    <s v="CAT02"/>
    <x v="3"/>
    <n v="900000"/>
    <n v="1098000"/>
    <s v="Active"/>
    <s v="B"/>
    <s v="Kho Đà Nẵng"/>
    <s v="Miền Trung"/>
    <x v="0"/>
    <n v="4392000"/>
    <n v="3600000"/>
    <n v="792000"/>
    <b v="1"/>
    <b v="1"/>
    <n v="0"/>
    <n v="7"/>
    <b v="1"/>
    <b v="0"/>
    <n v="4392000"/>
    <n v="792000"/>
    <n v="4"/>
    <n v="4"/>
    <n v="0"/>
    <n v="1"/>
    <n v="0"/>
    <n v="792000"/>
  </r>
  <r>
    <d v="2026-04-23T00:00:00"/>
    <s v="SO2604-0117"/>
    <n v="1"/>
    <s v="KH028"/>
    <s v="VT013"/>
    <s v="WH_DA"/>
    <n v="20"/>
    <n v="20"/>
    <n v="614000"/>
    <n v="0.1"/>
    <s v="Completed"/>
    <d v="2026-04-26T00:00:00"/>
    <d v="2026-04-26T00:00:00"/>
    <s v="NV An"/>
    <m/>
    <n v="207"/>
    <s v="Khách hàng 028"/>
    <x v="1"/>
    <x v="1"/>
    <s v="Active"/>
    <x v="12"/>
    <s v="CAT01"/>
    <x v="5"/>
    <n v="480000"/>
    <n v="614000"/>
    <s v="Active"/>
    <s v="B"/>
    <s v="Kho Đông Anh"/>
    <s v="Miền Bắc"/>
    <x v="4"/>
    <n v="11052000"/>
    <n v="9600000"/>
    <n v="1452000"/>
    <b v="1"/>
    <b v="1"/>
    <n v="1"/>
    <n v="0"/>
    <b v="1"/>
    <b v="0"/>
    <n v="11052000"/>
    <n v="1452000"/>
    <n v="20"/>
    <n v="20"/>
    <n v="1"/>
    <n v="1"/>
    <n v="0"/>
    <n v="1452000"/>
  </r>
  <r>
    <d v="2026-04-06T00:00:00"/>
    <s v="SO2604-0043"/>
    <n v="1"/>
    <s v="KH026"/>
    <s v="VT020"/>
    <s v="WH_DA"/>
    <n v="28"/>
    <n v="28"/>
    <n v="793000"/>
    <n v="0"/>
    <s v="Completed"/>
    <d v="2026-04-08T00:00:00"/>
    <d v="2026-04-09T00:00:00"/>
    <s v="NV An"/>
    <m/>
    <n v="208"/>
    <s v="Khách hàng 026"/>
    <x v="2"/>
    <x v="1"/>
    <s v="Active"/>
    <x v="36"/>
    <s v="CAT02"/>
    <x v="3"/>
    <n v="650000"/>
    <n v="793000"/>
    <s v="Active"/>
    <s v="B"/>
    <s v="Kho Đông Anh"/>
    <s v="Miền Bắc"/>
    <x v="4"/>
    <n v="22204000"/>
    <n v="18200000"/>
    <n v="4004000"/>
    <b v="1"/>
    <b v="1"/>
    <n v="0"/>
    <n v="1"/>
    <b v="1"/>
    <b v="0"/>
    <n v="22204000"/>
    <n v="4004000"/>
    <n v="28"/>
    <n v="28"/>
    <n v="0"/>
    <n v="1"/>
    <n v="0"/>
    <n v="4004000"/>
  </r>
  <r>
    <d v="2026-02-03T00:00:00"/>
    <s v="SO2602-0058"/>
    <n v="4"/>
    <s v="KH001"/>
    <s v="VT001"/>
    <s v="WH_DN"/>
    <n v="-7"/>
    <n v="-7"/>
    <n v="230000"/>
    <n v="0.1"/>
    <s v="Return"/>
    <d v="2026-02-05T00:00:00"/>
    <d v="2026-02-06T00:00:00"/>
    <s v="NV An"/>
    <m/>
    <n v="209"/>
    <s v="Khách hàng 001"/>
    <x v="0"/>
    <x v="2"/>
    <s v="Active"/>
    <x v="31"/>
    <s v="CAT01"/>
    <x v="5"/>
    <n v="180000"/>
    <n v="230000"/>
    <s v="Active"/>
    <s v="B"/>
    <s v="Kho Đà Nẵng"/>
    <s v="Miền Trung"/>
    <x v="5"/>
    <n v="-1449000"/>
    <n v="-1260000"/>
    <n v="-189000"/>
    <b v="1"/>
    <b v="1"/>
    <n v="0"/>
    <n v="1"/>
    <b v="0"/>
    <b v="1"/>
    <n v="-1449000"/>
    <n v="-189000"/>
    <n v="0"/>
    <n v="0"/>
    <n v="0"/>
    <n v="1"/>
    <n v="-1449000"/>
    <n v="-189000"/>
  </r>
  <r>
    <d v="2026-02-28T00:00:00"/>
    <s v="SO2602-0099"/>
    <n v="1"/>
    <s v="KH007"/>
    <s v="VT007"/>
    <s v="WH_DN"/>
    <n v="24"/>
    <n v="0"/>
    <n v="448000"/>
    <n v="0"/>
    <s v="Cancelled"/>
    <d v="2026-03-05T00:00:00"/>
    <m/>
    <s v="NV Bình"/>
    <m/>
    <n v="210"/>
    <s v="Khách hàng 007"/>
    <x v="2"/>
    <x v="2"/>
    <s v="Active"/>
    <x v="25"/>
    <s v="CAT01"/>
    <x v="5"/>
    <n v="350000"/>
    <n v="448000"/>
    <s v="Discontinued"/>
    <s v="C"/>
    <s v="Kho Đà Nẵng"/>
    <s v="Miền Trung"/>
    <x v="5"/>
    <n v="0"/>
    <m/>
    <n v="0"/>
    <b v="1"/>
    <b v="0"/>
    <m/>
    <m/>
    <b v="0"/>
    <b v="0"/>
    <n v="0"/>
    <n v="0"/>
    <n v="0"/>
    <n v="0"/>
    <n v="0"/>
    <n v="0"/>
    <n v="0"/>
    <n v="0"/>
  </r>
  <r>
    <d v="2026-06-14T00:00:00"/>
    <s v="SO2606-0037"/>
    <n v="1"/>
    <s v="KH034"/>
    <s v="VT001"/>
    <s v="WH_DA"/>
    <n v="29"/>
    <n v="28"/>
    <n v="230000"/>
    <n v="0.1"/>
    <s v="Completed"/>
    <d v="2026-06-16T00:00:00"/>
    <d v="2026-06-17T00:00:00"/>
    <s v="NV Dũng"/>
    <m/>
    <n v="211"/>
    <s v="Khách hàng 034"/>
    <x v="1"/>
    <x v="0"/>
    <s v="Active"/>
    <x v="31"/>
    <s v="CAT01"/>
    <x v="5"/>
    <n v="180000"/>
    <n v="230000"/>
    <s v="Active"/>
    <s v="B"/>
    <s v="Kho Đông Anh"/>
    <s v="Miền Bắc"/>
    <x v="3"/>
    <n v="5796000"/>
    <n v="5040000"/>
    <n v="756000"/>
    <b v="1"/>
    <b v="1"/>
    <n v="0"/>
    <n v="1"/>
    <b v="1"/>
    <b v="0"/>
    <n v="5796000"/>
    <n v="756000"/>
    <n v="28"/>
    <n v="29"/>
    <n v="0"/>
    <n v="1"/>
    <n v="0"/>
    <n v="756000"/>
  </r>
  <r>
    <d v="2026-02-25T00:00:00"/>
    <s v="SO2602-0023"/>
    <n v="1"/>
    <s v="KH009"/>
    <s v="VT008"/>
    <s v="WH_HCM"/>
    <n v="-6"/>
    <n v="-6"/>
    <n v="2196000"/>
    <n v="0"/>
    <s v="Return"/>
    <d v="2026-02-27T00:00:00"/>
    <d v="2026-02-27T00:00:00"/>
    <s v="NV An"/>
    <m/>
    <n v="212"/>
    <s v="Khách hàng 009"/>
    <x v="2"/>
    <x v="3"/>
    <s v="Inactive"/>
    <x v="24"/>
    <s v="CAT02"/>
    <x v="3"/>
    <n v="1800000"/>
    <n v="2196000"/>
    <s v="Active"/>
    <s v="B"/>
    <s v="Kho HCM"/>
    <s v="Miền Nam"/>
    <x v="5"/>
    <n v="-13176000"/>
    <n v="-10800000"/>
    <n v="-2376000"/>
    <b v="1"/>
    <b v="1"/>
    <n v="1"/>
    <n v="0"/>
    <b v="0"/>
    <b v="1"/>
    <n v="-13176000"/>
    <n v="-2376000"/>
    <n v="0"/>
    <n v="0"/>
    <n v="1"/>
    <n v="1"/>
    <n v="-13176000"/>
    <n v="-2376000"/>
  </r>
  <r>
    <d v="2026-03-05T00:00:00"/>
    <s v="SO2603-0142"/>
    <n v="3"/>
    <s v="KH002"/>
    <s v="VT020"/>
    <s v="WH_DA"/>
    <n v="34"/>
    <n v="33"/>
    <n v="793000"/>
    <n v="0.05"/>
    <s v="Completed"/>
    <d v="2026-03-08T00:00:00"/>
    <d v="2026-03-11T00:00:00"/>
    <s v="NV An"/>
    <m/>
    <n v="213"/>
    <s v="Khách hàng 002"/>
    <x v="2"/>
    <x v="3"/>
    <s v="Active"/>
    <x v="36"/>
    <s v="CAT02"/>
    <x v="3"/>
    <n v="650000"/>
    <n v="793000"/>
    <s v="Active"/>
    <s v="B"/>
    <s v="Kho Đông Anh"/>
    <s v="Miền Bắc"/>
    <x v="0"/>
    <n v="24860550"/>
    <n v="21450000"/>
    <n v="3410550"/>
    <b v="1"/>
    <b v="1"/>
    <n v="0"/>
    <n v="3"/>
    <b v="1"/>
    <b v="0"/>
    <n v="24860550"/>
    <n v="3410550"/>
    <n v="33"/>
    <n v="34"/>
    <n v="0"/>
    <n v="1"/>
    <n v="0"/>
    <n v="3410550"/>
  </r>
  <r>
    <d v="2026-03-03T00:00:00"/>
    <s v="SO2603-0127"/>
    <n v="4"/>
    <s v="KH008"/>
    <s v="VT016"/>
    <s v="WH_HCM"/>
    <n v="5"/>
    <n v="5"/>
    <n v="845000"/>
    <n v="0.02"/>
    <s v="Completed"/>
    <d v="2026-03-05T00:00:00"/>
    <d v="2026-03-06T00:00:00"/>
    <s v="NV Dũng"/>
    <m/>
    <n v="214"/>
    <s v="Khách hàng 008"/>
    <x v="1"/>
    <x v="2"/>
    <s v="Active"/>
    <x v="13"/>
    <s v="CAT04"/>
    <x v="0"/>
    <n v="650000"/>
    <n v="845000"/>
    <s v="Active"/>
    <s v="C"/>
    <s v="Kho HCM"/>
    <s v="Miền Nam"/>
    <x v="0"/>
    <n v="4140500"/>
    <n v="3250000"/>
    <n v="890500"/>
    <b v="1"/>
    <b v="1"/>
    <n v="0"/>
    <n v="1"/>
    <b v="1"/>
    <b v="0"/>
    <n v="4140500"/>
    <n v="890500"/>
    <n v="5"/>
    <n v="5"/>
    <n v="0"/>
    <n v="1"/>
    <n v="0"/>
    <n v="890500"/>
  </r>
  <r>
    <d v="2026-04-04T00:00:00"/>
    <s v="SO2604-0140"/>
    <n v="2"/>
    <s v="KH031"/>
    <s v="VT005"/>
    <s v="WH_HN"/>
    <n v="5"/>
    <n v="5"/>
    <n v="150000"/>
    <n v="0"/>
    <s v="Completed"/>
    <d v="2026-04-09T00:00:00"/>
    <d v="2026-04-11T00:00:00"/>
    <s v="NV Chi"/>
    <m/>
    <n v="215"/>
    <s v="Khách hàng 031"/>
    <x v="0"/>
    <x v="1"/>
    <s v="Inactive"/>
    <x v="2"/>
    <s v="CAT05"/>
    <x v="2"/>
    <n v="120000"/>
    <n v="150000"/>
    <s v="Active"/>
    <s v="A"/>
    <s v="Kho Hà Nội"/>
    <s v="Miền Bắc"/>
    <x v="4"/>
    <n v="750000"/>
    <n v="600000"/>
    <n v="150000"/>
    <b v="1"/>
    <b v="1"/>
    <n v="0"/>
    <n v="2"/>
    <b v="1"/>
    <b v="0"/>
    <n v="750000"/>
    <n v="150000"/>
    <n v="5"/>
    <n v="5"/>
    <n v="0"/>
    <n v="1"/>
    <n v="0"/>
    <n v="150000"/>
  </r>
  <r>
    <d v="2026-06-10T00:00:00"/>
    <s v="SO2606-0129"/>
    <n v="4"/>
    <s v="KH028"/>
    <s v="VT026"/>
    <s v="WH_HN"/>
    <n v="35"/>
    <n v="35"/>
    <n v="146000"/>
    <n v="0"/>
    <s v="Completed"/>
    <d v="2026-06-13T00:00:00"/>
    <d v="2026-06-12T00:00:00"/>
    <s v="NV Bình"/>
    <m/>
    <n v="216"/>
    <s v="Khách hàng 028"/>
    <x v="1"/>
    <x v="1"/>
    <s v="Active"/>
    <x v="29"/>
    <s v="CAT02"/>
    <x v="3"/>
    <n v="120000"/>
    <n v="146000"/>
    <s v="Active"/>
    <s v="B"/>
    <s v="Kho Hà Nội"/>
    <s v="Miền Bắc"/>
    <x v="3"/>
    <n v="5110000"/>
    <n v="4200000"/>
    <n v="910000"/>
    <b v="1"/>
    <b v="1"/>
    <n v="1"/>
    <n v="-1"/>
    <b v="1"/>
    <b v="0"/>
    <n v="5110000"/>
    <n v="910000"/>
    <n v="35"/>
    <n v="35"/>
    <n v="1"/>
    <n v="1"/>
    <n v="0"/>
    <n v="910000"/>
  </r>
  <r>
    <d v="2026-02-09T00:00:00"/>
    <s v="SO2602-0138"/>
    <n v="3"/>
    <s v="KH026"/>
    <s v="VT005"/>
    <s v="WH_DN"/>
    <n v="28"/>
    <n v="27"/>
    <n v="150000"/>
    <n v="0"/>
    <s v="Open"/>
    <d v="2026-02-10T00:00:00"/>
    <m/>
    <s v="NV Bình"/>
    <m/>
    <n v="217"/>
    <s v="Khách hàng 026"/>
    <x v="2"/>
    <x v="1"/>
    <s v="Active"/>
    <x v="2"/>
    <s v="CAT05"/>
    <x v="2"/>
    <n v="120000"/>
    <n v="150000"/>
    <s v="Active"/>
    <s v="A"/>
    <s v="Kho Đà Nẵng"/>
    <s v="Miền Trung"/>
    <x v="5"/>
    <n v="4050000"/>
    <n v="3240000"/>
    <n v="810000"/>
    <b v="1"/>
    <b v="0"/>
    <m/>
    <m/>
    <b v="1"/>
    <b v="0"/>
    <n v="4050000"/>
    <n v="810000"/>
    <n v="27"/>
    <n v="28"/>
    <n v="0"/>
    <n v="0"/>
    <n v="0"/>
    <n v="810000"/>
  </r>
  <r>
    <d v="2026-01-23T00:00:00"/>
    <s v="SO2601-0112"/>
    <n v="1"/>
    <s v="KH030"/>
    <s v="VT004"/>
    <s v="WH_DN"/>
    <n v="12"/>
    <n v="12"/>
    <n v="234000"/>
    <n v="0.1"/>
    <s v="Completed"/>
    <d v="2026-01-24T00:00:00"/>
    <d v="2026-01-24T00:00:00"/>
    <s v="NV Dũng"/>
    <m/>
    <n v="218"/>
    <s v="Khách hàng 030"/>
    <x v="2"/>
    <x v="1"/>
    <s v="Active"/>
    <x v="23"/>
    <s v="CAT04"/>
    <x v="0"/>
    <n v="180000"/>
    <n v="234000"/>
    <s v="Active"/>
    <s v="A"/>
    <s v="Kho Đà Nẵng"/>
    <s v="Miền Trung"/>
    <x v="2"/>
    <n v="2527200"/>
    <n v="2160000"/>
    <n v="367200"/>
    <b v="1"/>
    <b v="1"/>
    <n v="1"/>
    <n v="0"/>
    <b v="1"/>
    <b v="0"/>
    <n v="2527200"/>
    <n v="367200"/>
    <n v="12"/>
    <n v="12"/>
    <n v="1"/>
    <n v="1"/>
    <n v="0"/>
    <n v="367200"/>
  </r>
  <r>
    <d v="2026-03-30T00:00:00"/>
    <s v="SO2603-0134"/>
    <n v="3"/>
    <s v="KH011"/>
    <s v="VT024"/>
    <s v="WH_DA"/>
    <n v="18"/>
    <n v="3"/>
    <n v="1620000"/>
    <n v="0"/>
    <s v="Open"/>
    <d v="2026-04-02T00:00:00"/>
    <m/>
    <s v="NV Dũng"/>
    <m/>
    <n v="219"/>
    <s v="Khách hàng 011"/>
    <x v="0"/>
    <x v="2"/>
    <s v="Active"/>
    <x v="26"/>
    <s v="CAT06"/>
    <x v="1"/>
    <n v="1200000"/>
    <n v="1620000"/>
    <s v="Active"/>
    <s v="C"/>
    <s v="Kho Đông Anh"/>
    <s v="Miền Bắc"/>
    <x v="0"/>
    <n v="4860000"/>
    <n v="3600000"/>
    <n v="1260000"/>
    <b v="1"/>
    <b v="0"/>
    <m/>
    <m/>
    <b v="1"/>
    <b v="0"/>
    <n v="4860000"/>
    <n v="1260000"/>
    <n v="3"/>
    <n v="18"/>
    <n v="0"/>
    <n v="0"/>
    <n v="0"/>
    <n v="1260000"/>
  </r>
  <r>
    <d v="2026-03-11T00:00:00"/>
    <s v="SO2603-0135"/>
    <n v="1"/>
    <s v="KH017"/>
    <s v="VT005"/>
    <s v="WH_HCM"/>
    <n v="30"/>
    <n v="30"/>
    <n v="150000"/>
    <n v="0.08"/>
    <s v="Completed"/>
    <d v="2026-03-13T00:00:00"/>
    <d v="2026-03-13T00:00:00"/>
    <s v="NV Bình"/>
    <m/>
    <n v="220"/>
    <s v="Khách hàng 017"/>
    <x v="2"/>
    <x v="0"/>
    <s v="Active"/>
    <x v="2"/>
    <s v="CAT05"/>
    <x v="2"/>
    <n v="120000"/>
    <n v="150000"/>
    <s v="Active"/>
    <s v="A"/>
    <s v="Kho HCM"/>
    <s v="Miền Nam"/>
    <x v="0"/>
    <n v="4140000"/>
    <n v="3600000"/>
    <n v="540000"/>
    <b v="1"/>
    <b v="1"/>
    <n v="1"/>
    <n v="0"/>
    <b v="1"/>
    <b v="0"/>
    <n v="4140000"/>
    <n v="540000"/>
    <n v="30"/>
    <n v="30"/>
    <n v="1"/>
    <n v="1"/>
    <n v="0"/>
    <n v="540000"/>
  </r>
  <r>
    <d v="2026-03-07T00:00:00"/>
    <s v="SO2603-0027"/>
    <n v="1"/>
    <s v="KH999"/>
    <s v="VT033"/>
    <s v="WH_HN"/>
    <n v="3"/>
    <n v="0"/>
    <n v="413000"/>
    <n v="0"/>
    <s v="Cancelled"/>
    <d v="2026-03-09T00:00:00"/>
    <m/>
    <s v="NV An"/>
    <s v="Sai master customer"/>
    <n v="221"/>
    <m/>
    <x v="3"/>
    <x v="4"/>
    <m/>
    <x v="11"/>
    <s v="CAT03"/>
    <x v="4"/>
    <n v="350000"/>
    <n v="413000"/>
    <s v="Active"/>
    <s v="B"/>
    <s v="Kho Hà Nội"/>
    <s v="Miền Bắc"/>
    <x v="0"/>
    <n v="0"/>
    <m/>
    <n v="0"/>
    <b v="1"/>
    <b v="0"/>
    <m/>
    <m/>
    <b v="0"/>
    <b v="0"/>
    <n v="0"/>
    <n v="0"/>
    <n v="0"/>
    <n v="0"/>
    <n v="0"/>
    <n v="0"/>
    <n v="0"/>
    <n v="0"/>
  </r>
  <r>
    <d v="2026-05-01T00:00:00"/>
    <s v="SO2605-0094"/>
    <n v="4"/>
    <s v="KH010"/>
    <s v="VT012"/>
    <s v="WH_HN"/>
    <n v="27"/>
    <n v="27"/>
    <n v="1215000"/>
    <n v="0.1"/>
    <s v="Completed"/>
    <d v="2026-05-04T00:00:00"/>
    <d v="2026-05-04T00:00:00"/>
    <s v="NV An"/>
    <m/>
    <n v="222"/>
    <s v="Khách hàng 010"/>
    <x v="0"/>
    <x v="3"/>
    <s v="Active"/>
    <x v="19"/>
    <s v="CAT06"/>
    <x v="1"/>
    <n v="900000"/>
    <n v="1215000"/>
    <s v="Active"/>
    <s v="B"/>
    <s v="Kho Hà Nội"/>
    <s v="Miền Bắc"/>
    <x v="1"/>
    <n v="29524500"/>
    <n v="24300000"/>
    <n v="5224500"/>
    <b v="1"/>
    <b v="1"/>
    <n v="1"/>
    <n v="0"/>
    <b v="1"/>
    <b v="0"/>
    <n v="29524500"/>
    <n v="5224500"/>
    <n v="27"/>
    <n v="27"/>
    <n v="1"/>
    <n v="1"/>
    <n v="0"/>
    <n v="5224500"/>
  </r>
  <r>
    <d v="2026-05-27T00:00:00"/>
    <s v="SO2605-0096"/>
    <n v="1"/>
    <s v="KH033"/>
    <s v="VT004"/>
    <s v="WH_DA"/>
    <n v="15"/>
    <n v="0"/>
    <n v="234000"/>
    <n v="0.05"/>
    <s v="Open"/>
    <d v="2026-05-28T00:00:00"/>
    <m/>
    <s v="NV Dũng"/>
    <m/>
    <n v="223"/>
    <s v="Khách hàng 033"/>
    <x v="1"/>
    <x v="1"/>
    <s v="Active"/>
    <x v="23"/>
    <s v="CAT04"/>
    <x v="0"/>
    <n v="180000"/>
    <n v="234000"/>
    <s v="Active"/>
    <s v="A"/>
    <s v="Kho Đông Anh"/>
    <s v="Miền Bắc"/>
    <x v="1"/>
    <n v="0"/>
    <n v="0"/>
    <n v="0"/>
    <b v="1"/>
    <b v="0"/>
    <m/>
    <m/>
    <b v="1"/>
    <b v="0"/>
    <n v="0"/>
    <n v="0"/>
    <n v="0"/>
    <n v="15"/>
    <n v="0"/>
    <n v="0"/>
    <n v="0"/>
    <n v="0"/>
  </r>
  <r>
    <d v="2026-03-14T00:00:00"/>
    <s v="SO2603-0080"/>
    <n v="3"/>
    <s v="KH006"/>
    <s v="VT036"/>
    <s v="WH_HCM"/>
    <n v="1"/>
    <n v="0"/>
    <n v="243000"/>
    <n v="0.02"/>
    <s v="Completed"/>
    <d v="2026-03-24T00:00:00"/>
    <d v="2026-03-26T00:00:00"/>
    <s v="NV Bình"/>
    <m/>
    <n v="224"/>
    <s v="Khách hàng 006"/>
    <x v="2"/>
    <x v="0"/>
    <s v="Active"/>
    <x v="14"/>
    <s v="CAT06"/>
    <x v="1"/>
    <n v="180000"/>
    <n v="243000"/>
    <s v="Active"/>
    <s v="C"/>
    <s v="Kho HCM"/>
    <s v="Miền Nam"/>
    <x v="0"/>
    <n v="0"/>
    <n v="0"/>
    <n v="0"/>
    <b v="1"/>
    <b v="1"/>
    <n v="0"/>
    <n v="2"/>
    <b v="1"/>
    <b v="0"/>
    <n v="0"/>
    <n v="0"/>
    <n v="0"/>
    <n v="1"/>
    <n v="0"/>
    <n v="1"/>
    <n v="0"/>
    <n v="0"/>
  </r>
  <r>
    <d v="2026-04-29T00:00:00"/>
    <s v="SO2604-0095"/>
    <n v="4"/>
    <s v="KH013"/>
    <s v="VT035"/>
    <s v="WH_DA"/>
    <n v="10"/>
    <n v="10"/>
    <n v="312000"/>
    <n v="0"/>
    <s v="Completed"/>
    <d v="2026-05-06T00:00:00"/>
    <d v="2026-05-06T00:00:00"/>
    <s v="NV An"/>
    <m/>
    <n v="225"/>
    <s v="Khách hàng 013"/>
    <x v="1"/>
    <x v="1"/>
    <s v="Active"/>
    <x v="18"/>
    <s v="CAT05"/>
    <x v="2"/>
    <n v="250000"/>
    <n v="312000"/>
    <s v="Discontinued"/>
    <s v="C"/>
    <s v="Kho Đông Anh"/>
    <s v="Miền Bắc"/>
    <x v="4"/>
    <n v="3120000"/>
    <n v="2500000"/>
    <n v="620000"/>
    <b v="1"/>
    <b v="1"/>
    <n v="1"/>
    <n v="0"/>
    <b v="1"/>
    <b v="0"/>
    <n v="3120000"/>
    <n v="620000"/>
    <n v="10"/>
    <n v="10"/>
    <n v="1"/>
    <n v="1"/>
    <n v="0"/>
    <n v="620000"/>
  </r>
  <r>
    <d v="2026-03-27T00:00:00"/>
    <s v="SO2603-0001"/>
    <n v="4"/>
    <s v="KH020"/>
    <s v="VT007"/>
    <s v="WH_DA"/>
    <n v="-7"/>
    <n v="-7"/>
    <n v="448000"/>
    <n v="0.05"/>
    <s v="Return"/>
    <d v="2026-03-28T00:00:00"/>
    <d v="2026-03-28T00:00:00"/>
    <s v="NV Chi"/>
    <m/>
    <n v="226"/>
    <s v="Khách hàng 020"/>
    <x v="1"/>
    <x v="0"/>
    <s v="Active"/>
    <x v="25"/>
    <s v="CAT01"/>
    <x v="5"/>
    <n v="350000"/>
    <n v="448000"/>
    <s v="Discontinued"/>
    <s v="C"/>
    <s v="Kho Đông Anh"/>
    <s v="Miền Bắc"/>
    <x v="0"/>
    <n v="-2979200"/>
    <n v="-2450000"/>
    <n v="-529200"/>
    <b v="1"/>
    <b v="1"/>
    <n v="1"/>
    <n v="0"/>
    <b v="0"/>
    <b v="1"/>
    <n v="-2979200"/>
    <n v="-529200"/>
    <n v="0"/>
    <n v="0"/>
    <n v="1"/>
    <n v="1"/>
    <n v="-2979200"/>
    <n v="-529200"/>
  </r>
  <r>
    <d v="2026-01-24T00:00:00"/>
    <s v="SO2601-0012"/>
    <n v="2"/>
    <s v="KH034"/>
    <s v="VT027"/>
    <s v="WH_DN"/>
    <n v="-2"/>
    <n v="-2"/>
    <n v="1062000"/>
    <n v="0.08"/>
    <s v="Return"/>
    <d v="2026-01-25T00:00:00"/>
    <d v="2026-01-27T00:00:00"/>
    <s v="NV Bình"/>
    <m/>
    <n v="227"/>
    <s v="Khách hàng 034"/>
    <x v="1"/>
    <x v="0"/>
    <s v="Active"/>
    <x v="16"/>
    <s v="CAT03"/>
    <x v="4"/>
    <n v="900000"/>
    <n v="1062000"/>
    <s v="Active"/>
    <s v="A"/>
    <s v="Kho Đà Nẵng"/>
    <s v="Miền Trung"/>
    <x v="2"/>
    <n v="-1954080"/>
    <n v="-1800000"/>
    <n v="-154080"/>
    <b v="1"/>
    <b v="1"/>
    <n v="0"/>
    <n v="2"/>
    <b v="0"/>
    <b v="1"/>
    <n v="-1954080"/>
    <n v="-154080"/>
    <n v="0"/>
    <n v="0"/>
    <n v="0"/>
    <n v="1"/>
    <n v="-1954080"/>
    <n v="-154080"/>
  </r>
  <r>
    <d v="2026-06-13T00:00:00"/>
    <s v="SO2606-0101"/>
    <n v="1"/>
    <s v="KH038"/>
    <s v="VT004"/>
    <s v="WH_HCM"/>
    <n v="9"/>
    <n v="9"/>
    <n v="234000"/>
    <n v="0.05"/>
    <s v="Completed"/>
    <d v="2026-06-23T00:00:00"/>
    <d v="2026-06-30T00:00:00"/>
    <s v="NV Chi"/>
    <m/>
    <n v="228"/>
    <s v="Khách hàng 038"/>
    <x v="0"/>
    <x v="3"/>
    <s v="Active"/>
    <x v="23"/>
    <s v="CAT04"/>
    <x v="0"/>
    <n v="180000"/>
    <n v="234000"/>
    <s v="Active"/>
    <s v="A"/>
    <s v="Kho HCM"/>
    <s v="Miền Nam"/>
    <x v="3"/>
    <n v="2000700"/>
    <n v="1620000"/>
    <n v="380700"/>
    <b v="1"/>
    <b v="1"/>
    <n v="0"/>
    <n v="7"/>
    <b v="1"/>
    <b v="0"/>
    <n v="2000700"/>
    <n v="380700"/>
    <n v="9"/>
    <n v="9"/>
    <n v="0"/>
    <n v="1"/>
    <n v="0"/>
    <n v="380700"/>
  </r>
  <r>
    <d v="2026-03-23T00:00:00"/>
    <s v="SO2603-0116"/>
    <n v="3"/>
    <s v="KH015"/>
    <s v="VT005"/>
    <s v="WH_DA"/>
    <n v="9"/>
    <n v="1"/>
    <n v="150000"/>
    <n v="0"/>
    <s v="Open"/>
    <d v="2026-03-24T00:00:00"/>
    <m/>
    <s v="NV Bình"/>
    <m/>
    <n v="229"/>
    <s v="Khách hàng 015"/>
    <x v="2"/>
    <x v="1"/>
    <s v="Active"/>
    <x v="2"/>
    <s v="CAT05"/>
    <x v="2"/>
    <n v="120000"/>
    <n v="150000"/>
    <s v="Active"/>
    <s v="A"/>
    <s v="Kho Đông Anh"/>
    <s v="Miền Bắc"/>
    <x v="0"/>
    <n v="150000"/>
    <n v="120000"/>
    <n v="30000"/>
    <b v="1"/>
    <b v="0"/>
    <m/>
    <m/>
    <b v="1"/>
    <b v="0"/>
    <n v="150000"/>
    <n v="30000"/>
    <n v="1"/>
    <n v="9"/>
    <n v="0"/>
    <n v="0"/>
    <n v="0"/>
    <n v="30000"/>
  </r>
  <r>
    <d v="2026-04-26T00:00:00"/>
    <s v="SO2604-0120"/>
    <n v="3"/>
    <s v="KH027"/>
    <s v="VT008"/>
    <s v="WH_DN"/>
    <n v="14"/>
    <n v="14"/>
    <n v="2196000"/>
    <n v="0"/>
    <s v="Completed"/>
    <d v="2026-04-27T00:00:00"/>
    <d v="2026-04-27T00:00:00"/>
    <s v="NV Chi"/>
    <m/>
    <n v="230"/>
    <s v="Khách hàng 027"/>
    <x v="2"/>
    <x v="0"/>
    <s v="Active"/>
    <x v="24"/>
    <s v="CAT02"/>
    <x v="3"/>
    <n v="1800000"/>
    <n v="2196000"/>
    <s v="Active"/>
    <s v="B"/>
    <s v="Kho Đà Nẵng"/>
    <s v="Miền Trung"/>
    <x v="4"/>
    <n v="30744000"/>
    <n v="25200000"/>
    <n v="5544000"/>
    <b v="1"/>
    <b v="1"/>
    <n v="1"/>
    <n v="0"/>
    <b v="1"/>
    <b v="0"/>
    <n v="30744000"/>
    <n v="5544000"/>
    <n v="14"/>
    <n v="14"/>
    <n v="1"/>
    <n v="1"/>
    <n v="0"/>
    <n v="5544000"/>
  </r>
  <r>
    <d v="2026-06-30T00:00:00"/>
    <s v="SO2606-0011"/>
    <n v="2"/>
    <s v="KH021"/>
    <s v="VT010"/>
    <s v="WH_HN"/>
    <n v="-7"/>
    <n v="-7"/>
    <n v="1170000"/>
    <n v="0.08"/>
    <s v="Return"/>
    <d v="2026-07-01T00:00:00"/>
    <d v="2026-07-04T00:00:00"/>
    <s v="NV Chi"/>
    <m/>
    <n v="231"/>
    <s v="Khách hàng 021"/>
    <x v="0"/>
    <x v="3"/>
    <s v="Active"/>
    <x v="0"/>
    <s v="CAT04"/>
    <x v="0"/>
    <n v="900000"/>
    <n v="1170000"/>
    <s v="Active"/>
    <s v="A"/>
    <s v="Kho Hà Nội"/>
    <s v="Miền Bắc"/>
    <x v="3"/>
    <n v="-7534800"/>
    <n v="-6300000"/>
    <n v="-1234800"/>
    <b v="1"/>
    <b v="1"/>
    <n v="0"/>
    <n v="3"/>
    <b v="0"/>
    <b v="1"/>
    <n v="-7534800"/>
    <n v="-1234800"/>
    <n v="0"/>
    <n v="0"/>
    <n v="0"/>
    <n v="1"/>
    <n v="-7534800"/>
    <n v="-1234800"/>
  </r>
  <r>
    <d v="2026-03-08T00:00:00"/>
    <s v="SO2603-0045"/>
    <n v="1"/>
    <s v="KH026"/>
    <s v="VT029"/>
    <s v="WH_DA"/>
    <n v="7"/>
    <n v="7"/>
    <n v="1125000"/>
    <n v="0"/>
    <s v="Completed"/>
    <d v="2026-03-09T00:00:00"/>
    <d v="2026-03-16T00:00:00"/>
    <s v="NV Bình"/>
    <m/>
    <n v="232"/>
    <s v="Khách hàng 026"/>
    <x v="2"/>
    <x v="1"/>
    <s v="Active"/>
    <x v="15"/>
    <s v="CAT05"/>
    <x v="2"/>
    <n v="900000"/>
    <n v="1125000"/>
    <s v="Active"/>
    <s v="A"/>
    <s v="Kho Đông Anh"/>
    <s v="Miền Bắc"/>
    <x v="0"/>
    <n v="7875000"/>
    <n v="6300000"/>
    <n v="1575000"/>
    <b v="1"/>
    <b v="1"/>
    <n v="0"/>
    <n v="7"/>
    <b v="1"/>
    <b v="0"/>
    <n v="7875000"/>
    <n v="1575000"/>
    <n v="7"/>
    <n v="7"/>
    <n v="0"/>
    <n v="1"/>
    <n v="0"/>
    <n v="1575000"/>
  </r>
  <r>
    <d v="2026-02-03T00:00:00"/>
    <s v="SO2602-0051"/>
    <n v="4"/>
    <s v="KH024"/>
    <s v="VT006"/>
    <s v="WH_DN"/>
    <n v="5"/>
    <n v="5"/>
    <n v="2430000"/>
    <n v="0.1"/>
    <s v="Completed"/>
    <d v="2026-02-08T00:00:00"/>
    <d v="2026-02-15T00:00:00"/>
    <s v="NV Bình"/>
    <m/>
    <n v="233"/>
    <s v="Khách hàng 024"/>
    <x v="1"/>
    <x v="3"/>
    <s v="Active"/>
    <x v="1"/>
    <s v="CAT06"/>
    <x v="1"/>
    <n v="1800000"/>
    <n v="2430000"/>
    <s v="Active"/>
    <s v="C"/>
    <s v="Kho Đà Nẵng"/>
    <s v="Miền Trung"/>
    <x v="5"/>
    <n v="10935000"/>
    <n v="9000000"/>
    <n v="1935000"/>
    <b v="1"/>
    <b v="1"/>
    <n v="0"/>
    <n v="7"/>
    <b v="1"/>
    <b v="0"/>
    <n v="10935000"/>
    <n v="1935000"/>
    <n v="5"/>
    <n v="5"/>
    <n v="0"/>
    <n v="1"/>
    <n v="0"/>
    <n v="1935000"/>
  </r>
  <r>
    <d v="2026-01-24T00:00:00"/>
    <s v="SO2601-0085"/>
    <n v="1"/>
    <s v="KH003"/>
    <s v="VT030"/>
    <s v="WH_HN"/>
    <n v="11"/>
    <n v="0"/>
    <n v="648000"/>
    <n v="0.05"/>
    <s v="Cancelled"/>
    <d v="2026-02-03T00:00:00"/>
    <m/>
    <s v="NV Dũng"/>
    <m/>
    <n v="234"/>
    <s v="Khách hàng 003"/>
    <x v="2"/>
    <x v="2"/>
    <s v="Active"/>
    <x v="21"/>
    <s v="CAT06"/>
    <x v="1"/>
    <n v="480000"/>
    <n v="648000"/>
    <s v="Active"/>
    <s v="C"/>
    <s v="Kho Hà Nội"/>
    <s v="Miền Bắc"/>
    <x v="2"/>
    <n v="0"/>
    <m/>
    <n v="0"/>
    <b v="1"/>
    <b v="0"/>
    <m/>
    <m/>
    <b v="0"/>
    <b v="0"/>
    <n v="0"/>
    <n v="0"/>
    <n v="0"/>
    <n v="0"/>
    <n v="0"/>
    <n v="0"/>
    <n v="0"/>
    <n v="0"/>
  </r>
  <r>
    <d v="2026-05-08T00:00:00"/>
    <s v="SO2605-0008"/>
    <n v="4"/>
    <s v="KH028"/>
    <s v="VT012"/>
    <s v="WH_DN"/>
    <n v="14"/>
    <n v="0"/>
    <n v="1215000"/>
    <n v="0.02"/>
    <s v="Cancelled"/>
    <d v="2026-05-11T00:00:00"/>
    <m/>
    <s v="NV Dũng"/>
    <m/>
    <n v="235"/>
    <s v="Khách hàng 028"/>
    <x v="1"/>
    <x v="1"/>
    <s v="Active"/>
    <x v="19"/>
    <s v="CAT06"/>
    <x v="1"/>
    <n v="900000"/>
    <n v="1215000"/>
    <s v="Active"/>
    <s v="B"/>
    <s v="Kho Đà Nẵng"/>
    <s v="Miền Trung"/>
    <x v="1"/>
    <n v="0"/>
    <m/>
    <n v="0"/>
    <b v="1"/>
    <b v="0"/>
    <m/>
    <m/>
    <b v="0"/>
    <b v="0"/>
    <n v="0"/>
    <n v="0"/>
    <n v="0"/>
    <n v="0"/>
    <n v="0"/>
    <n v="0"/>
    <n v="0"/>
    <n v="0"/>
  </r>
  <r>
    <d v="2026-02-08T00:00:00"/>
    <s v="SO2602-0009"/>
    <n v="2"/>
    <s v="KH019"/>
    <s v="VT032"/>
    <s v="WH_HCM"/>
    <n v="31"/>
    <n v="31"/>
    <n v="1098000"/>
    <n v="0"/>
    <s v="Completed"/>
    <d v="2026-02-13T00:00:00"/>
    <d v="2026-02-13T00:00:00"/>
    <s v="NV Bình"/>
    <m/>
    <n v="236"/>
    <s v="Khách hàng 019"/>
    <x v="2"/>
    <x v="1"/>
    <s v="Active"/>
    <x v="17"/>
    <s v="CAT02"/>
    <x v="3"/>
    <n v="900000"/>
    <n v="1098000"/>
    <s v="Active"/>
    <s v="B"/>
    <s v="Kho HCM"/>
    <s v="Miền Nam"/>
    <x v="5"/>
    <n v="34038000"/>
    <n v="27900000"/>
    <n v="6138000"/>
    <b v="1"/>
    <b v="1"/>
    <n v="1"/>
    <n v="0"/>
    <b v="1"/>
    <b v="0"/>
    <n v="34038000"/>
    <n v="6138000"/>
    <n v="31"/>
    <n v="31"/>
    <n v="1"/>
    <n v="1"/>
    <n v="0"/>
    <n v="6138000"/>
  </r>
  <r>
    <d v="2026-06-11T00:00:00"/>
    <s v="SO2606-0140"/>
    <n v="1"/>
    <s v="KH025"/>
    <s v="VT023"/>
    <s v="WH_HCM"/>
    <n v="35"/>
    <n v="22"/>
    <n v="2250000"/>
    <n v="0.08"/>
    <s v="Open"/>
    <d v="2026-06-18T00:00:00"/>
    <m/>
    <s v="NV Chi"/>
    <m/>
    <n v="237"/>
    <s v="Khách hàng 025"/>
    <x v="1"/>
    <x v="0"/>
    <s v="Active"/>
    <x v="3"/>
    <s v="CAT05"/>
    <x v="2"/>
    <n v="1800000"/>
    <n v="2250000"/>
    <s v="Active"/>
    <s v="A"/>
    <s v="Kho HCM"/>
    <s v="Miền Nam"/>
    <x v="3"/>
    <n v="45540000"/>
    <n v="39600000"/>
    <n v="5940000"/>
    <b v="1"/>
    <b v="0"/>
    <m/>
    <m/>
    <b v="1"/>
    <b v="0"/>
    <n v="45540000"/>
    <n v="5940000"/>
    <n v="22"/>
    <n v="35"/>
    <n v="0"/>
    <n v="0"/>
    <n v="0"/>
    <n v="5940000"/>
  </r>
  <r>
    <d v="2026-04-10T00:00:00"/>
    <s v="SO2604-0070"/>
    <n v="2"/>
    <s v="KH002"/>
    <s v="VT021"/>
    <s v="WH_DA"/>
    <n v="2"/>
    <n v="0"/>
    <n v="413000"/>
    <n v="0.02"/>
    <s v="Cancelled"/>
    <d v="2026-04-11T00:00:00"/>
    <m/>
    <s v="NV Dũng"/>
    <m/>
    <n v="238"/>
    <s v="Khách hàng 002"/>
    <x v="2"/>
    <x v="3"/>
    <s v="Active"/>
    <x v="9"/>
    <s v="CAT03"/>
    <x v="4"/>
    <n v="350000"/>
    <n v="413000"/>
    <s v="Discontinued"/>
    <s v="C"/>
    <s v="Kho Đông Anh"/>
    <s v="Miền Bắc"/>
    <x v="4"/>
    <n v="0"/>
    <m/>
    <n v="0"/>
    <b v="1"/>
    <b v="0"/>
    <m/>
    <m/>
    <b v="0"/>
    <b v="0"/>
    <n v="0"/>
    <n v="0"/>
    <n v="0"/>
    <n v="0"/>
    <n v="0"/>
    <n v="0"/>
    <n v="0"/>
    <n v="0"/>
  </r>
  <r>
    <d v="2026-05-16T00:00:00"/>
    <s v="SO2605-0092"/>
    <n v="2"/>
    <s v="KH011"/>
    <s v="VT007"/>
    <s v="WH_DA"/>
    <n v="16"/>
    <n v="16"/>
    <n v="448000"/>
    <n v="0"/>
    <s v="Completed"/>
    <d v="2026-05-23T00:00:00"/>
    <d v="2026-05-30T00:00:00"/>
    <s v="NV Dũng"/>
    <m/>
    <n v="239"/>
    <s v="Khách hàng 011"/>
    <x v="0"/>
    <x v="2"/>
    <s v="Active"/>
    <x v="25"/>
    <s v="CAT01"/>
    <x v="5"/>
    <n v="350000"/>
    <n v="448000"/>
    <s v="Discontinued"/>
    <s v="C"/>
    <s v="Kho Đông Anh"/>
    <s v="Miền Bắc"/>
    <x v="1"/>
    <n v="7168000"/>
    <n v="5600000"/>
    <n v="1568000"/>
    <b v="1"/>
    <b v="1"/>
    <n v="0"/>
    <n v="7"/>
    <b v="1"/>
    <b v="0"/>
    <n v="7168000"/>
    <n v="1568000"/>
    <n v="16"/>
    <n v="16"/>
    <n v="0"/>
    <n v="1"/>
    <n v="0"/>
    <n v="1568000"/>
  </r>
  <r>
    <d v="2026-04-01T00:00:00"/>
    <s v="SO2604-0045"/>
    <n v="2"/>
    <s v="KH016"/>
    <s v="VT021"/>
    <s v="WH_DN"/>
    <n v="2"/>
    <n v="1"/>
    <n v="413000"/>
    <n v="0.08"/>
    <s v="Open"/>
    <d v="2026-04-08T00:00:00"/>
    <m/>
    <s v="NV Bình"/>
    <m/>
    <n v="240"/>
    <s v="Khách hàng 016"/>
    <x v="0"/>
    <x v="1"/>
    <s v="Active"/>
    <x v="9"/>
    <s v="CAT03"/>
    <x v="4"/>
    <n v="350000"/>
    <n v="413000"/>
    <s v="Discontinued"/>
    <s v="C"/>
    <s v="Kho Đà Nẵng"/>
    <s v="Miền Trung"/>
    <x v="4"/>
    <n v="379960"/>
    <n v="350000"/>
    <n v="29960"/>
    <b v="1"/>
    <b v="0"/>
    <m/>
    <m/>
    <b v="1"/>
    <b v="0"/>
    <n v="379960"/>
    <n v="29960"/>
    <n v="1"/>
    <n v="2"/>
    <n v="0"/>
    <n v="0"/>
    <n v="0"/>
    <n v="29960"/>
  </r>
  <r>
    <d v="2026-05-25T00:00:00"/>
    <s v="SO2605-0049"/>
    <n v="4"/>
    <s v="KH035"/>
    <s v="VT020"/>
    <s v="WH_DA"/>
    <n v="32"/>
    <n v="32"/>
    <n v="793000"/>
    <n v="0.08"/>
    <s v="Completed"/>
    <d v="2026-05-27T00:00:00"/>
    <d v="2026-05-26T00:00:00"/>
    <s v="NV Dũng"/>
    <m/>
    <n v="241"/>
    <s v="Khách hàng 035"/>
    <x v="1"/>
    <x v="1"/>
    <s v="Active"/>
    <x v="36"/>
    <s v="CAT02"/>
    <x v="3"/>
    <n v="650000"/>
    <n v="793000"/>
    <s v="Active"/>
    <s v="B"/>
    <s v="Kho Đông Anh"/>
    <s v="Miền Bắc"/>
    <x v="1"/>
    <n v="23345920"/>
    <n v="20800000"/>
    <n v="2545920"/>
    <b v="1"/>
    <b v="1"/>
    <n v="1"/>
    <n v="-1"/>
    <b v="1"/>
    <b v="0"/>
    <n v="23345920"/>
    <n v="2545920"/>
    <n v="32"/>
    <n v="32"/>
    <n v="1"/>
    <n v="1"/>
    <n v="0"/>
    <n v="2545920"/>
  </r>
  <r>
    <d v="2026-01-01T00:00:00"/>
    <s v="SO2601-0085"/>
    <n v="2"/>
    <s v="KH009"/>
    <s v="VT022"/>
    <s v="WH_DA"/>
    <n v="21"/>
    <n v="20"/>
    <n v="234000"/>
    <n v="0.1"/>
    <s v="Completed"/>
    <d v="2026-01-03T00:00:00"/>
    <d v="2026-01-10T00:00:00"/>
    <s v="NV An"/>
    <m/>
    <n v="242"/>
    <s v="Khách hàng 009"/>
    <x v="2"/>
    <x v="3"/>
    <s v="Inactive"/>
    <x v="28"/>
    <s v="CAT04"/>
    <x v="0"/>
    <n v="180000"/>
    <n v="234000"/>
    <s v="Active"/>
    <s v="A"/>
    <s v="Kho Đông Anh"/>
    <s v="Miền Bắc"/>
    <x v="2"/>
    <n v="4212000"/>
    <n v="3600000"/>
    <n v="612000"/>
    <b v="1"/>
    <b v="1"/>
    <n v="0"/>
    <n v="7"/>
    <b v="1"/>
    <b v="0"/>
    <n v="4212000"/>
    <n v="612000"/>
    <n v="20"/>
    <n v="21"/>
    <n v="0"/>
    <n v="1"/>
    <n v="0"/>
    <n v="612000"/>
  </r>
  <r>
    <d v="2026-05-15T00:00:00"/>
    <s v="SO2605-0094"/>
    <n v="1"/>
    <s v="KH024"/>
    <s v="VT026"/>
    <s v="WH_HN"/>
    <n v="22"/>
    <n v="22"/>
    <n v="146000"/>
    <n v="0.1"/>
    <s v="Completed"/>
    <d v="2026-05-20T00:00:00"/>
    <d v="2026-05-27T00:00:00"/>
    <s v="NV Dũng"/>
    <m/>
    <n v="243"/>
    <s v="Khách hàng 024"/>
    <x v="1"/>
    <x v="3"/>
    <s v="Active"/>
    <x v="29"/>
    <s v="CAT02"/>
    <x v="3"/>
    <n v="120000"/>
    <n v="146000"/>
    <s v="Active"/>
    <s v="B"/>
    <s v="Kho Hà Nội"/>
    <s v="Miền Bắc"/>
    <x v="1"/>
    <n v="2890800"/>
    <n v="2640000"/>
    <n v="250800"/>
    <b v="1"/>
    <b v="1"/>
    <n v="0"/>
    <n v="7"/>
    <b v="1"/>
    <b v="0"/>
    <n v="2890800"/>
    <n v="250800"/>
    <n v="22"/>
    <n v="22"/>
    <n v="0"/>
    <n v="1"/>
    <n v="0"/>
    <n v="250800"/>
  </r>
  <r>
    <d v="2026-06-16T00:00:00"/>
    <s v="SO2606-0082"/>
    <n v="2"/>
    <s v="KH036"/>
    <s v="VT023"/>
    <s v="WH_DA"/>
    <n v="12"/>
    <n v="9"/>
    <n v="2250000"/>
    <n v="0.02"/>
    <s v="Completed"/>
    <d v="2026-06-18T00:00:00"/>
    <d v="2026-06-18T00:00:00"/>
    <s v="NV An"/>
    <m/>
    <n v="244"/>
    <s v="Khách hàng 036"/>
    <x v="0"/>
    <x v="0"/>
    <s v="Active"/>
    <x v="3"/>
    <s v="CAT05"/>
    <x v="2"/>
    <n v="1800000"/>
    <n v="2250000"/>
    <s v="Active"/>
    <s v="A"/>
    <s v="Kho Đông Anh"/>
    <s v="Miền Bắc"/>
    <x v="3"/>
    <n v="19845000"/>
    <n v="16200000"/>
    <n v="3645000"/>
    <b v="1"/>
    <b v="1"/>
    <n v="1"/>
    <n v="0"/>
    <b v="1"/>
    <b v="0"/>
    <n v="19845000"/>
    <n v="3645000"/>
    <n v="9"/>
    <n v="12"/>
    <n v="1"/>
    <n v="1"/>
    <n v="0"/>
    <n v="3645000"/>
  </r>
  <r>
    <d v="2026-06-29T00:00:00"/>
    <s v="SO2606-0101"/>
    <n v="1"/>
    <s v="KH012"/>
    <s v="VT021"/>
    <s v="WH_DA"/>
    <n v="7"/>
    <n v="0"/>
    <n v="413000"/>
    <n v="0"/>
    <s v="Cancelled"/>
    <d v="2026-07-02T00:00:00"/>
    <m/>
    <s v="NV An"/>
    <m/>
    <n v="245"/>
    <s v="Khách hàng 012"/>
    <x v="1"/>
    <x v="0"/>
    <s v="Active"/>
    <x v="9"/>
    <s v="CAT03"/>
    <x v="4"/>
    <n v="350000"/>
    <n v="413000"/>
    <s v="Discontinued"/>
    <s v="C"/>
    <s v="Kho Đông Anh"/>
    <s v="Miền Bắc"/>
    <x v="3"/>
    <n v="0"/>
    <m/>
    <n v="0"/>
    <b v="1"/>
    <b v="0"/>
    <m/>
    <m/>
    <b v="0"/>
    <b v="0"/>
    <n v="0"/>
    <n v="0"/>
    <n v="0"/>
    <n v="0"/>
    <n v="0"/>
    <n v="0"/>
    <n v="0"/>
    <n v="0"/>
  </r>
  <r>
    <d v="2026-03-02T00:00:00"/>
    <s v="SO2603-0089"/>
    <n v="3"/>
    <s v="KH011"/>
    <s v="VT006"/>
    <s v="WH_DN"/>
    <n v="29"/>
    <n v="29"/>
    <n v="2430000"/>
    <n v="0.1"/>
    <s v="Completed"/>
    <d v="2026-03-03T00:00:00"/>
    <d v="2026-03-03T00:00:00"/>
    <s v="NV Chi"/>
    <m/>
    <n v="246"/>
    <s v="Khách hàng 011"/>
    <x v="0"/>
    <x v="2"/>
    <s v="Active"/>
    <x v="1"/>
    <s v="CAT06"/>
    <x v="1"/>
    <n v="1800000"/>
    <n v="2430000"/>
    <s v="Active"/>
    <s v="C"/>
    <s v="Kho Đà Nẵng"/>
    <s v="Miền Trung"/>
    <x v="0"/>
    <n v="63423000"/>
    <n v="52200000"/>
    <n v="11223000"/>
    <b v="1"/>
    <b v="1"/>
    <n v="1"/>
    <n v="0"/>
    <b v="1"/>
    <b v="0"/>
    <n v="63423000"/>
    <n v="11223000"/>
    <n v="29"/>
    <n v="29"/>
    <n v="1"/>
    <n v="1"/>
    <n v="0"/>
    <n v="11223000"/>
  </r>
  <r>
    <d v="2026-01-28T00:00:00"/>
    <s v="SO2601-0001"/>
    <n v="1"/>
    <s v="KH025"/>
    <s v="VT029"/>
    <s v="WH_HCM"/>
    <n v="11"/>
    <n v="0"/>
    <n v="1125000"/>
    <n v="0.05"/>
    <s v="Cancelled"/>
    <d v="2026-02-02T00:00:00"/>
    <m/>
    <s v="NV Chi"/>
    <m/>
    <n v="247"/>
    <s v="Khách hàng 025"/>
    <x v="1"/>
    <x v="0"/>
    <s v="Active"/>
    <x v="15"/>
    <s v="CAT05"/>
    <x v="2"/>
    <n v="900000"/>
    <n v="1125000"/>
    <s v="Active"/>
    <s v="A"/>
    <s v="Kho HCM"/>
    <s v="Miền Nam"/>
    <x v="2"/>
    <n v="0"/>
    <m/>
    <n v="0"/>
    <b v="1"/>
    <b v="0"/>
    <m/>
    <m/>
    <b v="0"/>
    <b v="0"/>
    <n v="0"/>
    <n v="0"/>
    <n v="0"/>
    <n v="0"/>
    <n v="0"/>
    <n v="0"/>
    <n v="0"/>
    <n v="0"/>
  </r>
  <r>
    <d v="2026-05-20T00:00:00"/>
    <s v="SO2605-0097"/>
    <n v="1"/>
    <s v="KH031"/>
    <s v="VT015"/>
    <s v="WH_DA"/>
    <n v="29"/>
    <n v="29"/>
    <n v="2124000"/>
    <n v="0"/>
    <s v="Completed"/>
    <d v="2026-05-23T00:00:00"/>
    <d v="2026-05-23T00:00:00"/>
    <s v="NV An"/>
    <m/>
    <n v="248"/>
    <s v="Khách hàng 031"/>
    <x v="0"/>
    <x v="1"/>
    <s v="Inactive"/>
    <x v="20"/>
    <s v="CAT03"/>
    <x v="4"/>
    <n v="1800000"/>
    <n v="2124000"/>
    <s v="Active"/>
    <s v="C"/>
    <s v="Kho Đông Anh"/>
    <s v="Miền Bắc"/>
    <x v="1"/>
    <n v="61596000"/>
    <n v="52200000"/>
    <n v="9396000"/>
    <b v="1"/>
    <b v="1"/>
    <n v="1"/>
    <n v="0"/>
    <b v="1"/>
    <b v="0"/>
    <n v="61596000"/>
    <n v="9396000"/>
    <n v="29"/>
    <n v="29"/>
    <n v="1"/>
    <n v="1"/>
    <n v="0"/>
    <n v="9396000"/>
  </r>
  <r>
    <d v="2026-01-19T00:00:00"/>
    <s v="SO2601-0088"/>
    <n v="2"/>
    <s v="KH025"/>
    <s v="VT011"/>
    <s v="WH_HN"/>
    <n v="6"/>
    <n v="6"/>
    <n v="437000"/>
    <n v="0.65"/>
    <s v="Completed"/>
    <d v="2026-01-20T00:00:00"/>
    <d v="2026-01-21T00:00:00"/>
    <s v="NV Bình"/>
    <s v="Chiết khấu bất thường"/>
    <n v="249"/>
    <s v="Khách hàng 025"/>
    <x v="1"/>
    <x v="0"/>
    <s v="Active"/>
    <x v="33"/>
    <s v="CAT05"/>
    <x v="2"/>
    <n v="350000"/>
    <n v="437000"/>
    <s v="Active"/>
    <s v="A"/>
    <s v="Kho Hà Nội"/>
    <s v="Miền Bắc"/>
    <x v="2"/>
    <n v="917699.99999999988"/>
    <n v="2100000"/>
    <n v="-1182300"/>
    <b v="1"/>
    <b v="1"/>
    <n v="0"/>
    <n v="1"/>
    <b v="1"/>
    <b v="0"/>
    <n v="917699.99999999988"/>
    <n v="-1182300"/>
    <n v="6"/>
    <n v="6"/>
    <n v="0"/>
    <n v="1"/>
    <n v="0"/>
    <n v="-1182300"/>
  </r>
  <r>
    <d v="2026-06-05T00:00:00"/>
    <s v="SO2606-0112"/>
    <n v="2"/>
    <s v="KH004"/>
    <s v="VT007"/>
    <s v="WH_DN"/>
    <n v="-7"/>
    <n v="-7"/>
    <n v="448000"/>
    <n v="0.1"/>
    <s v="Return"/>
    <d v="2026-06-12T00:00:00"/>
    <d v="2026-06-15T00:00:00"/>
    <s v="NV Chi"/>
    <m/>
    <n v="250"/>
    <s v="Khách hàng 004"/>
    <x v="0"/>
    <x v="1"/>
    <s v="Active"/>
    <x v="25"/>
    <s v="CAT01"/>
    <x v="5"/>
    <n v="350000"/>
    <n v="448000"/>
    <s v="Discontinued"/>
    <s v="C"/>
    <s v="Kho Đà Nẵng"/>
    <s v="Miền Trung"/>
    <x v="3"/>
    <n v="-2822400"/>
    <n v="-2450000"/>
    <n v="-372400"/>
    <b v="1"/>
    <b v="1"/>
    <n v="0"/>
    <n v="3"/>
    <b v="0"/>
    <b v="1"/>
    <n v="-2822400"/>
    <n v="-372400"/>
    <n v="0"/>
    <n v="0"/>
    <n v="0"/>
    <n v="1"/>
    <n v="-2822400"/>
    <n v="-372400"/>
  </r>
  <r>
    <d v="2026-06-19T00:00:00"/>
    <s v="SO2606-0073"/>
    <n v="3"/>
    <s v="KH016"/>
    <s v="VT007"/>
    <s v="WH_HN"/>
    <n v="26"/>
    <n v="26"/>
    <n v="448000"/>
    <n v="0"/>
    <s v="Completed"/>
    <d v="2026-06-22T00:00:00"/>
    <d v="2026-06-21T00:00:00"/>
    <s v="NV Dũng"/>
    <m/>
    <n v="251"/>
    <s v="Khách hàng 016"/>
    <x v="0"/>
    <x v="1"/>
    <s v="Active"/>
    <x v="25"/>
    <s v="CAT01"/>
    <x v="5"/>
    <n v="350000"/>
    <n v="448000"/>
    <s v="Discontinued"/>
    <s v="C"/>
    <s v="Kho Hà Nội"/>
    <s v="Miền Bắc"/>
    <x v="3"/>
    <n v="11648000"/>
    <n v="9100000"/>
    <n v="2548000"/>
    <b v="1"/>
    <b v="1"/>
    <n v="1"/>
    <n v="-1"/>
    <b v="1"/>
    <b v="0"/>
    <n v="11648000"/>
    <n v="2548000"/>
    <n v="26"/>
    <n v="26"/>
    <n v="1"/>
    <n v="1"/>
    <n v="0"/>
    <n v="2548000"/>
  </r>
  <r>
    <d v="2026-01-23T00:00:00"/>
    <s v="SO2601-0076"/>
    <n v="4"/>
    <s v="KH013"/>
    <s v="VT007"/>
    <s v="WH_HN"/>
    <n v="14"/>
    <n v="14"/>
    <n v="448000"/>
    <n v="0.05"/>
    <s v="Completed"/>
    <d v="2026-01-24T00:00:00"/>
    <d v="2026-01-24T00:00:00"/>
    <s v="NV Dũng"/>
    <m/>
    <n v="252"/>
    <s v="Khách hàng 013"/>
    <x v="1"/>
    <x v="1"/>
    <s v="Active"/>
    <x v="25"/>
    <s v="CAT01"/>
    <x v="5"/>
    <n v="350000"/>
    <n v="448000"/>
    <s v="Discontinued"/>
    <s v="C"/>
    <s v="Kho Hà Nội"/>
    <s v="Miền Bắc"/>
    <x v="2"/>
    <n v="5958400"/>
    <n v="4900000"/>
    <n v="1058400"/>
    <b v="1"/>
    <b v="1"/>
    <n v="1"/>
    <n v="0"/>
    <b v="1"/>
    <b v="0"/>
    <n v="5958400"/>
    <n v="1058400"/>
    <n v="14"/>
    <n v="14"/>
    <n v="1"/>
    <n v="1"/>
    <n v="0"/>
    <n v="1058400"/>
  </r>
  <r>
    <d v="2026-05-01T00:00:00"/>
    <s v="SO2605-0126"/>
    <n v="3"/>
    <s v="KH006"/>
    <s v="VT035"/>
    <s v="WH_HCM"/>
    <n v="12"/>
    <n v="12"/>
    <n v="312000"/>
    <n v="0"/>
    <s v="Completed"/>
    <d v="2026-05-06T00:00:00"/>
    <d v="2026-05-05T00:00:00"/>
    <s v="NV Chi"/>
    <m/>
    <n v="253"/>
    <s v="Khách hàng 006"/>
    <x v="2"/>
    <x v="0"/>
    <s v="Active"/>
    <x v="18"/>
    <s v="CAT05"/>
    <x v="2"/>
    <n v="250000"/>
    <n v="312000"/>
    <s v="Discontinued"/>
    <s v="C"/>
    <s v="Kho HCM"/>
    <s v="Miền Nam"/>
    <x v="1"/>
    <n v="3744000"/>
    <n v="3000000"/>
    <n v="744000"/>
    <b v="1"/>
    <b v="1"/>
    <n v="1"/>
    <n v="-1"/>
    <b v="1"/>
    <b v="0"/>
    <n v="3744000"/>
    <n v="744000"/>
    <n v="12"/>
    <n v="12"/>
    <n v="1"/>
    <n v="1"/>
    <n v="0"/>
    <n v="744000"/>
  </r>
  <r>
    <d v="2026-04-23T00:00:00"/>
    <s v="SO2604-0120"/>
    <n v="3"/>
    <s v="KH015"/>
    <s v="VT018"/>
    <s v="WH_HN"/>
    <n v="10"/>
    <n v="1"/>
    <n v="648000"/>
    <n v="0"/>
    <s v="Open"/>
    <d v="2026-05-03T00:00:00"/>
    <m/>
    <s v="NV Chi"/>
    <m/>
    <n v="254"/>
    <s v="Khách hàng 015"/>
    <x v="2"/>
    <x v="1"/>
    <s v="Active"/>
    <x v="6"/>
    <s v="CAT06"/>
    <x v="1"/>
    <n v="480000"/>
    <n v="648000"/>
    <s v="Active"/>
    <s v="A"/>
    <s v="Kho Hà Nội"/>
    <s v="Miền Bắc"/>
    <x v="4"/>
    <n v="648000"/>
    <n v="480000"/>
    <n v="168000"/>
    <b v="1"/>
    <b v="0"/>
    <m/>
    <m/>
    <b v="1"/>
    <b v="0"/>
    <n v="648000"/>
    <n v="168000"/>
    <n v="1"/>
    <n v="10"/>
    <n v="0"/>
    <n v="0"/>
    <n v="0"/>
    <n v="168000"/>
  </r>
  <r>
    <d v="2026-05-19T00:00:00"/>
    <s v="SO2605-0106"/>
    <n v="2"/>
    <s v="KH036"/>
    <s v="VT004"/>
    <s v="WH_HCM"/>
    <n v="34"/>
    <n v="31"/>
    <n v="234000"/>
    <n v="0.05"/>
    <s v="Completed"/>
    <d v="2026-05-26T00:00:00"/>
    <d v="2026-05-26T00:00:00"/>
    <s v="NV Dũng"/>
    <m/>
    <n v="255"/>
    <s v="Khách hàng 036"/>
    <x v="0"/>
    <x v="0"/>
    <s v="Active"/>
    <x v="23"/>
    <s v="CAT04"/>
    <x v="0"/>
    <n v="180000"/>
    <n v="234000"/>
    <s v="Active"/>
    <s v="A"/>
    <s v="Kho HCM"/>
    <s v="Miền Nam"/>
    <x v="1"/>
    <n v="6891300"/>
    <n v="5580000"/>
    <n v="1311300"/>
    <b v="1"/>
    <b v="1"/>
    <n v="1"/>
    <n v="0"/>
    <b v="1"/>
    <b v="0"/>
    <n v="6891300"/>
    <n v="1311300"/>
    <n v="31"/>
    <n v="34"/>
    <n v="1"/>
    <n v="1"/>
    <n v="0"/>
    <n v="1311300"/>
  </r>
  <r>
    <d v="2026-03-18T00:00:00"/>
    <s v="SO2603-0021"/>
    <n v="4"/>
    <s v="KH003"/>
    <s v="VT033"/>
    <s v="WH_DA"/>
    <n v="8"/>
    <n v="0"/>
    <n v="413000"/>
    <n v="0.05"/>
    <s v="Cancelled"/>
    <d v="2026-03-20T00:00:00"/>
    <m/>
    <s v="NV Bình"/>
    <m/>
    <n v="256"/>
    <s v="Khách hàng 003"/>
    <x v="2"/>
    <x v="2"/>
    <s v="Active"/>
    <x v="11"/>
    <s v="CAT03"/>
    <x v="4"/>
    <n v="350000"/>
    <n v="413000"/>
    <s v="Active"/>
    <s v="B"/>
    <s v="Kho Đông Anh"/>
    <s v="Miền Bắc"/>
    <x v="0"/>
    <n v="0"/>
    <m/>
    <n v="0"/>
    <b v="1"/>
    <b v="0"/>
    <m/>
    <m/>
    <b v="0"/>
    <b v="0"/>
    <n v="0"/>
    <n v="0"/>
    <n v="0"/>
    <n v="0"/>
    <n v="0"/>
    <n v="0"/>
    <n v="0"/>
    <n v="0"/>
  </r>
  <r>
    <d v="2026-02-24T00:00:00"/>
    <s v="SO2602-0050"/>
    <n v="2"/>
    <s v="KH003"/>
    <s v="VT028"/>
    <s v="WH_HN"/>
    <n v="28"/>
    <n v="28"/>
    <n v="845000"/>
    <n v="0.08"/>
    <s v="Completed"/>
    <d v="2026-02-27T00:00:00"/>
    <d v="2026-02-27T00:00:00"/>
    <s v="NV An"/>
    <m/>
    <n v="257"/>
    <s v="Khách hàng 003"/>
    <x v="2"/>
    <x v="2"/>
    <s v="Active"/>
    <x v="8"/>
    <s v="CAT04"/>
    <x v="0"/>
    <n v="650000"/>
    <n v="845000"/>
    <s v="Active"/>
    <s v="B"/>
    <s v="Kho Hà Nội"/>
    <s v="Miền Bắc"/>
    <x v="5"/>
    <n v="21767200"/>
    <n v="18200000"/>
    <n v="3567200"/>
    <b v="1"/>
    <b v="1"/>
    <n v="1"/>
    <n v="0"/>
    <b v="1"/>
    <b v="0"/>
    <n v="21767200"/>
    <n v="3567200"/>
    <n v="28"/>
    <n v="28"/>
    <n v="1"/>
    <n v="1"/>
    <n v="0"/>
    <n v="3567200"/>
  </r>
  <r>
    <d v="2026-01-23T00:00:00"/>
    <s v="SO2601-0100"/>
    <n v="4"/>
    <s v="KH036"/>
    <s v="VT021"/>
    <s v="WH_DN"/>
    <n v="34"/>
    <n v="33"/>
    <n v="413000"/>
    <n v="0.08"/>
    <s v="Completed"/>
    <d v="2026-01-30T00:00:00"/>
    <d v="2026-02-01T00:00:00"/>
    <s v="NV Dũng"/>
    <m/>
    <n v="258"/>
    <s v="Khách hàng 036"/>
    <x v="0"/>
    <x v="0"/>
    <s v="Active"/>
    <x v="9"/>
    <s v="CAT03"/>
    <x v="4"/>
    <n v="350000"/>
    <n v="413000"/>
    <s v="Discontinued"/>
    <s v="C"/>
    <s v="Kho Đà Nẵng"/>
    <s v="Miền Trung"/>
    <x v="2"/>
    <n v="12538680"/>
    <n v="11550000"/>
    <n v="988680"/>
    <b v="1"/>
    <b v="1"/>
    <n v="0"/>
    <n v="2"/>
    <b v="1"/>
    <b v="0"/>
    <n v="12538680"/>
    <n v="988680"/>
    <n v="33"/>
    <n v="34"/>
    <n v="0"/>
    <n v="1"/>
    <n v="0"/>
    <n v="988680"/>
  </r>
  <r>
    <d v="2026-01-29T00:00:00"/>
    <s v="SO2601-0107"/>
    <n v="2"/>
    <s v="KH010"/>
    <s v="VT007"/>
    <s v="WH_HN"/>
    <n v="7"/>
    <n v="6"/>
    <n v="448000"/>
    <n v="0.08"/>
    <s v="Open"/>
    <d v="2026-02-01T00:00:00"/>
    <m/>
    <s v="NV Dũng"/>
    <m/>
    <n v="259"/>
    <s v="Khách hàng 010"/>
    <x v="0"/>
    <x v="3"/>
    <s v="Active"/>
    <x v="25"/>
    <s v="CAT01"/>
    <x v="5"/>
    <n v="350000"/>
    <n v="448000"/>
    <s v="Discontinued"/>
    <s v="C"/>
    <s v="Kho Hà Nội"/>
    <s v="Miền Bắc"/>
    <x v="2"/>
    <n v="2472960"/>
    <n v="2100000"/>
    <n v="372960"/>
    <b v="1"/>
    <b v="0"/>
    <m/>
    <m/>
    <b v="1"/>
    <b v="0"/>
    <n v="2472960"/>
    <n v="372960"/>
    <n v="6"/>
    <n v="7"/>
    <n v="0"/>
    <n v="0"/>
    <n v="0"/>
    <n v="372960"/>
  </r>
  <r>
    <d v="2026-03-09T00:00:00"/>
    <s v="SO2603-0099"/>
    <n v="4"/>
    <s v="KH037"/>
    <s v="VT031"/>
    <s v="WH_HN"/>
    <n v="12"/>
    <n v="11"/>
    <n v="2304000"/>
    <n v="0.08"/>
    <s v="Completed"/>
    <d v="2026-03-19T00:00:00"/>
    <d v="2026-03-22T00:00:00"/>
    <s v="NV Dũng"/>
    <m/>
    <n v="260"/>
    <s v="Khách hàng 037"/>
    <x v="0"/>
    <x v="0"/>
    <s v="Active"/>
    <x v="30"/>
    <s v="CAT01"/>
    <x v="5"/>
    <n v="1800000"/>
    <n v="2304000"/>
    <s v="Active"/>
    <s v="C"/>
    <s v="Kho Hà Nội"/>
    <s v="Miền Bắc"/>
    <x v="0"/>
    <n v="23316480"/>
    <n v="19800000"/>
    <n v="3516480"/>
    <b v="1"/>
    <b v="1"/>
    <n v="0"/>
    <n v="3"/>
    <b v="1"/>
    <b v="0"/>
    <n v="23316480"/>
    <n v="3516480"/>
    <n v="11"/>
    <n v="12"/>
    <n v="0"/>
    <n v="1"/>
    <n v="0"/>
    <n v="3516480"/>
  </r>
  <r>
    <d v="2026-01-10T00:00:00"/>
    <s v="SO2601-0102"/>
    <n v="3"/>
    <s v="KH016"/>
    <s v="VT004"/>
    <s v="WH_HCM"/>
    <n v="18"/>
    <n v="0"/>
    <n v="234000"/>
    <n v="0"/>
    <s v="Cancelled"/>
    <d v="2026-01-13T00:00:00"/>
    <m/>
    <s v="NV Chi"/>
    <m/>
    <n v="261"/>
    <s v="Khách hàng 016"/>
    <x v="0"/>
    <x v="1"/>
    <s v="Active"/>
    <x v="23"/>
    <s v="CAT04"/>
    <x v="0"/>
    <n v="180000"/>
    <n v="234000"/>
    <s v="Active"/>
    <s v="A"/>
    <s v="Kho HCM"/>
    <s v="Miền Nam"/>
    <x v="2"/>
    <n v="0"/>
    <m/>
    <n v="0"/>
    <b v="1"/>
    <b v="0"/>
    <m/>
    <m/>
    <b v="0"/>
    <b v="0"/>
    <n v="0"/>
    <n v="0"/>
    <n v="0"/>
    <n v="0"/>
    <n v="0"/>
    <n v="0"/>
    <n v="0"/>
    <n v="0"/>
  </r>
  <r>
    <d v="2026-03-21T00:00:00"/>
    <s v="SO2603-0072"/>
    <n v="4"/>
    <s v="KH007"/>
    <s v="VT015"/>
    <s v="WH_DA"/>
    <n v="-8"/>
    <n v="-8"/>
    <n v="2124000"/>
    <n v="0.02"/>
    <s v="Return"/>
    <d v="2026-03-24T00:00:00"/>
    <d v="2026-03-27T00:00:00"/>
    <s v="NV Dũng"/>
    <m/>
    <n v="262"/>
    <s v="Khách hàng 007"/>
    <x v="2"/>
    <x v="2"/>
    <s v="Active"/>
    <x v="20"/>
    <s v="CAT03"/>
    <x v="4"/>
    <n v="1800000"/>
    <n v="2124000"/>
    <s v="Active"/>
    <s v="C"/>
    <s v="Kho Đông Anh"/>
    <s v="Miền Bắc"/>
    <x v="0"/>
    <n v="-16652160"/>
    <n v="-14400000"/>
    <n v="-2252160"/>
    <b v="1"/>
    <b v="1"/>
    <n v="0"/>
    <n v="3"/>
    <b v="0"/>
    <b v="1"/>
    <n v="-16652160"/>
    <n v="-2252160"/>
    <n v="0"/>
    <n v="0"/>
    <n v="0"/>
    <n v="1"/>
    <n v="-16652160"/>
    <n v="-2252160"/>
  </r>
  <r>
    <d v="2026-06-04T00:00:00"/>
    <s v="SO2606-0023"/>
    <n v="2"/>
    <s v="KH029"/>
    <s v="VT014"/>
    <s v="WH_HCM"/>
    <n v="32"/>
    <n v="23"/>
    <n v="2196000"/>
    <n v="0"/>
    <s v="Open"/>
    <d v="2026-06-11T00:00:00"/>
    <m/>
    <s v="NV Bình"/>
    <m/>
    <n v="263"/>
    <s v="Khách hàng 029"/>
    <x v="1"/>
    <x v="3"/>
    <s v="Active"/>
    <x v="34"/>
    <s v="CAT02"/>
    <x v="3"/>
    <n v="1800000"/>
    <n v="2196000"/>
    <s v="Active"/>
    <s v="A"/>
    <s v="Kho HCM"/>
    <s v="Miền Nam"/>
    <x v="3"/>
    <n v="50508000"/>
    <n v="41400000"/>
    <n v="9108000"/>
    <b v="1"/>
    <b v="0"/>
    <m/>
    <m/>
    <b v="1"/>
    <b v="0"/>
    <n v="50508000"/>
    <n v="9108000"/>
    <n v="23"/>
    <n v="32"/>
    <n v="0"/>
    <n v="0"/>
    <n v="0"/>
    <n v="9108000"/>
  </r>
  <r>
    <d v="2026-01-17T00:00:00"/>
    <s v="SO2601-0080"/>
    <n v="4"/>
    <s v="KH009"/>
    <s v="VT034"/>
    <s v="WH_HN"/>
    <n v="12"/>
    <n v="12"/>
    <n v="234000"/>
    <n v="0"/>
    <s v="Completed"/>
    <d v="2026-01-18T00:00:00"/>
    <d v="2026-01-19T00:00:00"/>
    <s v="NV An"/>
    <m/>
    <n v="264"/>
    <s v="Khách hàng 009"/>
    <x v="2"/>
    <x v="3"/>
    <s v="Inactive"/>
    <x v="22"/>
    <s v="CAT04"/>
    <x v="0"/>
    <n v="180000"/>
    <n v="234000"/>
    <s v="Active"/>
    <s v="A"/>
    <s v="Kho Hà Nội"/>
    <s v="Miền Bắc"/>
    <x v="2"/>
    <n v="2808000"/>
    <n v="2160000"/>
    <n v="648000"/>
    <b v="1"/>
    <b v="1"/>
    <n v="0"/>
    <n v="1"/>
    <b v="1"/>
    <b v="0"/>
    <n v="2808000"/>
    <n v="648000"/>
    <n v="12"/>
    <n v="12"/>
    <n v="0"/>
    <n v="1"/>
    <n v="0"/>
    <n v="648000"/>
  </r>
  <r>
    <d v="2026-04-03T00:00:00"/>
    <s v="SO2604-0051"/>
    <n v="3"/>
    <s v="KH024"/>
    <s v="VT030"/>
    <s v="WH_HCM"/>
    <n v="8"/>
    <n v="8"/>
    <n v="648000"/>
    <n v="0.05"/>
    <s v="Completed"/>
    <d v="2026-04-10T00:00:00"/>
    <d v="2026-04-11T00:00:00"/>
    <s v="NV Bình"/>
    <m/>
    <n v="265"/>
    <s v="Khách hàng 024"/>
    <x v="1"/>
    <x v="3"/>
    <s v="Active"/>
    <x v="21"/>
    <s v="CAT06"/>
    <x v="1"/>
    <n v="480000"/>
    <n v="648000"/>
    <s v="Active"/>
    <s v="C"/>
    <s v="Kho HCM"/>
    <s v="Miền Nam"/>
    <x v="4"/>
    <n v="4924800"/>
    <n v="3840000"/>
    <n v="1084800"/>
    <b v="1"/>
    <b v="1"/>
    <n v="0"/>
    <n v="1"/>
    <b v="1"/>
    <b v="0"/>
    <n v="4924800"/>
    <n v="1084800"/>
    <n v="8"/>
    <n v="8"/>
    <n v="0"/>
    <n v="1"/>
    <n v="0"/>
    <n v="1084800"/>
  </r>
  <r>
    <d v="2026-05-02T00:00:00"/>
    <s v="SO2605-0142"/>
    <n v="3"/>
    <s v="KH023"/>
    <s v="VT011"/>
    <s v="WH_DN"/>
    <n v="6"/>
    <n v="6"/>
    <n v="437000"/>
    <n v="0"/>
    <s v="Completed"/>
    <d v="2026-05-09T00:00:00"/>
    <d v="2026-05-16T00:00:00"/>
    <s v="NV Bình"/>
    <m/>
    <n v="266"/>
    <s v="Khách hàng 023"/>
    <x v="1"/>
    <x v="3"/>
    <s v="Active"/>
    <x v="33"/>
    <s v="CAT05"/>
    <x v="2"/>
    <n v="350000"/>
    <n v="437000"/>
    <s v="Active"/>
    <s v="A"/>
    <s v="Kho Đà Nẵng"/>
    <s v="Miền Trung"/>
    <x v="1"/>
    <n v="2622000"/>
    <n v="2100000"/>
    <n v="522000"/>
    <b v="1"/>
    <b v="1"/>
    <n v="0"/>
    <n v="7"/>
    <b v="1"/>
    <b v="0"/>
    <n v="2622000"/>
    <n v="522000"/>
    <n v="6"/>
    <n v="6"/>
    <n v="0"/>
    <n v="1"/>
    <n v="0"/>
    <n v="522000"/>
  </r>
  <r>
    <d v="2026-02-26T00:00:00"/>
    <s v="SO2602-0058"/>
    <n v="2"/>
    <s v="KH018"/>
    <s v="VT027"/>
    <s v="WH_HN"/>
    <n v="1"/>
    <n v="0"/>
    <n v="1062000"/>
    <n v="0"/>
    <s v="Completed"/>
    <d v="2026-03-05T00:00:00"/>
    <d v="2026-03-12T00:00:00"/>
    <s v="NV An"/>
    <m/>
    <n v="267"/>
    <s v="Khách hàng 018"/>
    <x v="0"/>
    <x v="2"/>
    <s v="Active"/>
    <x v="16"/>
    <s v="CAT03"/>
    <x v="4"/>
    <n v="900000"/>
    <n v="1062000"/>
    <s v="Active"/>
    <s v="A"/>
    <s v="Kho Hà Nội"/>
    <s v="Miền Bắc"/>
    <x v="5"/>
    <n v="0"/>
    <n v="0"/>
    <n v="0"/>
    <b v="1"/>
    <b v="1"/>
    <n v="0"/>
    <n v="7"/>
    <b v="1"/>
    <b v="0"/>
    <n v="0"/>
    <n v="0"/>
    <n v="0"/>
    <n v="1"/>
    <n v="0"/>
    <n v="1"/>
    <n v="0"/>
    <n v="0"/>
  </r>
  <r>
    <d v="2026-02-27T00:00:00"/>
    <s v="SO2602-0065"/>
    <n v="3"/>
    <s v="KH018"/>
    <s v="VT028"/>
    <s v="WH_HCM"/>
    <n v="23"/>
    <n v="23"/>
    <n v="845000"/>
    <n v="0.02"/>
    <s v="Completed"/>
    <d v="2026-03-09T00:00:00"/>
    <d v="2026-03-11T00:00:00"/>
    <s v="NV Dũng"/>
    <m/>
    <n v="268"/>
    <s v="Khách hàng 018"/>
    <x v="0"/>
    <x v="2"/>
    <s v="Active"/>
    <x v="8"/>
    <s v="CAT04"/>
    <x v="0"/>
    <n v="650000"/>
    <n v="845000"/>
    <s v="Active"/>
    <s v="B"/>
    <s v="Kho HCM"/>
    <s v="Miền Nam"/>
    <x v="5"/>
    <n v="19046300"/>
    <n v="14950000"/>
    <n v="4096300"/>
    <b v="1"/>
    <b v="1"/>
    <n v="0"/>
    <n v="2"/>
    <b v="1"/>
    <b v="0"/>
    <n v="19046300"/>
    <n v="4096300"/>
    <n v="23"/>
    <n v="23"/>
    <n v="0"/>
    <n v="1"/>
    <n v="0"/>
    <n v="4096300"/>
  </r>
  <r>
    <d v="2026-05-30T00:00:00"/>
    <s v="SO2605-0027"/>
    <n v="1"/>
    <s v="KH033"/>
    <s v="VT024"/>
    <s v="WH_DN"/>
    <n v="20"/>
    <n v="20"/>
    <n v="1620000"/>
    <n v="0.02"/>
    <s v="Completed"/>
    <d v="2026-06-02T00:00:00"/>
    <d v="2026-06-05T00:00:00"/>
    <s v="NV Chi"/>
    <m/>
    <n v="269"/>
    <s v="Khách hàng 033"/>
    <x v="1"/>
    <x v="1"/>
    <s v="Active"/>
    <x v="26"/>
    <s v="CAT06"/>
    <x v="1"/>
    <n v="1200000"/>
    <n v="1620000"/>
    <s v="Active"/>
    <s v="C"/>
    <s v="Kho Đà Nẵng"/>
    <s v="Miền Trung"/>
    <x v="1"/>
    <n v="31752000"/>
    <n v="24000000"/>
    <n v="7752000"/>
    <b v="1"/>
    <b v="1"/>
    <n v="0"/>
    <n v="3"/>
    <b v="1"/>
    <b v="0"/>
    <n v="31752000"/>
    <n v="7752000"/>
    <n v="20"/>
    <n v="20"/>
    <n v="0"/>
    <n v="1"/>
    <n v="0"/>
    <n v="7752000"/>
  </r>
  <r>
    <d v="2026-03-12T00:00:00"/>
    <s v="SO2603-0067"/>
    <n v="3"/>
    <s v="KH013"/>
    <s v="VT010"/>
    <s v="WH_DA"/>
    <n v="4"/>
    <n v="3"/>
    <n v="1170000"/>
    <n v="0.1"/>
    <s v="Open"/>
    <d v="2026-03-15T00:00:00"/>
    <m/>
    <s v="NV Bình"/>
    <m/>
    <n v="270"/>
    <s v="Khách hàng 013"/>
    <x v="1"/>
    <x v="1"/>
    <s v="Active"/>
    <x v="0"/>
    <s v="CAT04"/>
    <x v="0"/>
    <n v="900000"/>
    <n v="1170000"/>
    <s v="Active"/>
    <s v="A"/>
    <s v="Kho Đông Anh"/>
    <s v="Miền Bắc"/>
    <x v="0"/>
    <n v="3159000"/>
    <n v="2700000"/>
    <n v="459000"/>
    <b v="1"/>
    <b v="0"/>
    <m/>
    <m/>
    <b v="1"/>
    <b v="0"/>
    <n v="3159000"/>
    <n v="459000"/>
    <n v="3"/>
    <n v="4"/>
    <n v="0"/>
    <n v="0"/>
    <n v="0"/>
    <n v="459000"/>
  </r>
  <r>
    <d v="2026-01-07T00:00:00"/>
    <s v="SO2601-0128"/>
    <n v="3"/>
    <s v="KH017"/>
    <s v="VT027"/>
    <s v="WH_HCM"/>
    <n v="25"/>
    <n v="18"/>
    <n v="1062000"/>
    <n v="0.1"/>
    <s v="Open"/>
    <d v="2026-01-14T00:00:00"/>
    <m/>
    <s v="NV Bình"/>
    <m/>
    <n v="271"/>
    <s v="Khách hàng 017"/>
    <x v="2"/>
    <x v="0"/>
    <s v="Active"/>
    <x v="16"/>
    <s v="CAT03"/>
    <x v="4"/>
    <n v="900000"/>
    <n v="1062000"/>
    <s v="Active"/>
    <s v="A"/>
    <s v="Kho HCM"/>
    <s v="Miền Nam"/>
    <x v="2"/>
    <n v="17204400"/>
    <n v="16200000"/>
    <n v="1004400"/>
    <b v="1"/>
    <b v="0"/>
    <m/>
    <m/>
    <b v="1"/>
    <b v="0"/>
    <n v="17204400"/>
    <n v="1004400"/>
    <n v="18"/>
    <n v="25"/>
    <n v="0"/>
    <n v="0"/>
    <n v="0"/>
    <n v="1004400"/>
  </r>
  <r>
    <d v="2026-03-29T00:00:00"/>
    <s v="SO2603-0057"/>
    <n v="4"/>
    <s v="KH023"/>
    <s v="VT033"/>
    <s v="WH_DN"/>
    <n v="11"/>
    <n v="8"/>
    <n v="413000"/>
    <n v="0"/>
    <s v="Open"/>
    <d v="2026-04-01T00:00:00"/>
    <m/>
    <s v="NV An"/>
    <m/>
    <n v="272"/>
    <s v="Khách hàng 023"/>
    <x v="1"/>
    <x v="3"/>
    <s v="Active"/>
    <x v="11"/>
    <s v="CAT03"/>
    <x v="4"/>
    <n v="350000"/>
    <n v="413000"/>
    <s v="Active"/>
    <s v="B"/>
    <s v="Kho Đà Nẵng"/>
    <s v="Miền Trung"/>
    <x v="0"/>
    <n v="3304000"/>
    <n v="2800000"/>
    <n v="504000"/>
    <b v="1"/>
    <b v="0"/>
    <m/>
    <m/>
    <b v="1"/>
    <b v="0"/>
    <n v="3304000"/>
    <n v="504000"/>
    <n v="8"/>
    <n v="11"/>
    <n v="0"/>
    <n v="0"/>
    <n v="0"/>
    <n v="504000"/>
  </r>
  <r>
    <d v="2026-05-01T00:00:00"/>
    <s v="SO2605-0033"/>
    <n v="3"/>
    <s v="KH036"/>
    <s v="VT012"/>
    <s v="WH_DN"/>
    <n v="6"/>
    <n v="5"/>
    <n v="1215000"/>
    <n v="0.02"/>
    <s v="Completed"/>
    <d v="2026-05-06T00:00:00"/>
    <d v="2026-05-13T00:00:00"/>
    <s v="NV Chi"/>
    <m/>
    <n v="273"/>
    <s v="Khách hàng 036"/>
    <x v="0"/>
    <x v="0"/>
    <s v="Active"/>
    <x v="19"/>
    <s v="CAT06"/>
    <x v="1"/>
    <n v="900000"/>
    <n v="1215000"/>
    <s v="Active"/>
    <s v="B"/>
    <s v="Kho Đà Nẵng"/>
    <s v="Miền Trung"/>
    <x v="1"/>
    <n v="5953500"/>
    <n v="4500000"/>
    <n v="1453500"/>
    <b v="1"/>
    <b v="1"/>
    <n v="0"/>
    <n v="7"/>
    <b v="1"/>
    <b v="0"/>
    <n v="5953500"/>
    <n v="1453500"/>
    <n v="5"/>
    <n v="6"/>
    <n v="0"/>
    <n v="1"/>
    <n v="0"/>
    <n v="1453500"/>
  </r>
  <r>
    <d v="2026-04-06T00:00:00"/>
    <s v="SO2604-0067"/>
    <n v="3"/>
    <s v="KH030"/>
    <s v="VT008"/>
    <s v="WH_HCM"/>
    <n v="4"/>
    <n v="0"/>
    <n v="2196000"/>
    <n v="0.08"/>
    <s v="Cancelled"/>
    <d v="2026-04-13T00:00:00"/>
    <m/>
    <s v="NV An"/>
    <m/>
    <n v="274"/>
    <s v="Khách hàng 030"/>
    <x v="2"/>
    <x v="1"/>
    <s v="Active"/>
    <x v="24"/>
    <s v="CAT02"/>
    <x v="3"/>
    <n v="1800000"/>
    <n v="2196000"/>
    <s v="Active"/>
    <s v="B"/>
    <s v="Kho HCM"/>
    <s v="Miền Nam"/>
    <x v="4"/>
    <n v="0"/>
    <m/>
    <n v="0"/>
    <b v="1"/>
    <b v="0"/>
    <m/>
    <m/>
    <b v="0"/>
    <b v="0"/>
    <n v="0"/>
    <n v="0"/>
    <n v="0"/>
    <n v="0"/>
    <n v="0"/>
    <n v="0"/>
    <n v="0"/>
    <n v="0"/>
  </r>
  <r>
    <d v="2026-05-01T00:00:00"/>
    <s v="SO2605-0050"/>
    <n v="1"/>
    <s v="KH025"/>
    <s v="VT034"/>
    <s v="WH_DN"/>
    <n v="27"/>
    <n v="27"/>
    <n v="234000"/>
    <n v="0"/>
    <s v="Completed"/>
    <d v="2026-05-04T00:00:00"/>
    <d v="2026-05-05T00:00:00"/>
    <s v="NV Dũng"/>
    <m/>
    <n v="275"/>
    <s v="Khách hàng 025"/>
    <x v="1"/>
    <x v="0"/>
    <s v="Active"/>
    <x v="22"/>
    <s v="CAT04"/>
    <x v="0"/>
    <n v="180000"/>
    <n v="234000"/>
    <s v="Active"/>
    <s v="A"/>
    <s v="Kho Đà Nẵng"/>
    <s v="Miền Trung"/>
    <x v="1"/>
    <n v="6318000"/>
    <n v="4860000"/>
    <n v="1458000"/>
    <b v="1"/>
    <b v="1"/>
    <n v="0"/>
    <n v="1"/>
    <b v="1"/>
    <b v="0"/>
    <n v="6318000"/>
    <n v="1458000"/>
    <n v="27"/>
    <n v="27"/>
    <n v="0"/>
    <n v="1"/>
    <n v="0"/>
    <n v="1458000"/>
  </r>
  <r>
    <d v="2026-02-06T00:00:00"/>
    <s v="SO2602-0081"/>
    <n v="2"/>
    <s v="KH006"/>
    <s v="VT032"/>
    <s v="WH_DN"/>
    <n v="12"/>
    <n v="12"/>
    <n v="1098000"/>
    <n v="0.05"/>
    <s v="Completed"/>
    <d v="2026-02-09T00:00:00"/>
    <d v="2026-02-09T00:00:00"/>
    <s v="NV Bình"/>
    <m/>
    <n v="276"/>
    <s v="Khách hàng 006"/>
    <x v="2"/>
    <x v="0"/>
    <s v="Active"/>
    <x v="17"/>
    <s v="CAT02"/>
    <x v="3"/>
    <n v="900000"/>
    <n v="1098000"/>
    <s v="Active"/>
    <s v="B"/>
    <s v="Kho Đà Nẵng"/>
    <s v="Miền Trung"/>
    <x v="5"/>
    <n v="12517200"/>
    <n v="10800000"/>
    <n v="1717200"/>
    <b v="1"/>
    <b v="1"/>
    <n v="1"/>
    <n v="0"/>
    <b v="1"/>
    <b v="0"/>
    <n v="12517200"/>
    <n v="1717200"/>
    <n v="12"/>
    <n v="12"/>
    <n v="1"/>
    <n v="1"/>
    <n v="0"/>
    <n v="1717200"/>
  </r>
  <r>
    <d v="2026-05-28T00:00:00"/>
    <s v="SO2605-0041"/>
    <n v="4"/>
    <s v="KH006"/>
    <s v="VT009"/>
    <s v="WH_HCM"/>
    <n v="28"/>
    <n v="28"/>
    <n v="566000"/>
    <n v="0"/>
    <s v="Completed"/>
    <d v="2026-05-29T00:00:00"/>
    <d v="2026-05-31T00:00:00"/>
    <s v="NV Bình"/>
    <m/>
    <n v="277"/>
    <s v="Khách hàng 006"/>
    <x v="2"/>
    <x v="0"/>
    <s v="Active"/>
    <x v="35"/>
    <s v="CAT03"/>
    <x v="4"/>
    <n v="480000"/>
    <n v="566000"/>
    <s v="Active"/>
    <s v="A"/>
    <s v="Kho HCM"/>
    <s v="Miền Nam"/>
    <x v="1"/>
    <n v="15848000"/>
    <n v="13440000"/>
    <n v="2408000"/>
    <b v="1"/>
    <b v="1"/>
    <n v="0"/>
    <n v="2"/>
    <b v="1"/>
    <b v="0"/>
    <n v="15848000"/>
    <n v="2408000"/>
    <n v="28"/>
    <n v="28"/>
    <n v="0"/>
    <n v="1"/>
    <n v="0"/>
    <n v="2408000"/>
  </r>
  <r>
    <d v="2026-04-06T00:00:00"/>
    <s v="SO2604-0004"/>
    <n v="3"/>
    <s v="KH034"/>
    <s v="VT013"/>
    <s v="WH_HN"/>
    <n v="1"/>
    <n v="1"/>
    <n v="614000"/>
    <n v="0.1"/>
    <s v="Completed"/>
    <d v="2026-04-09T00:00:00"/>
    <d v="2026-04-09T00:00:00"/>
    <s v="NV Bình"/>
    <m/>
    <n v="278"/>
    <s v="Khách hàng 034"/>
    <x v="1"/>
    <x v="0"/>
    <s v="Active"/>
    <x v="12"/>
    <s v="CAT01"/>
    <x v="5"/>
    <n v="480000"/>
    <n v="614000"/>
    <s v="Active"/>
    <s v="B"/>
    <s v="Kho Hà Nội"/>
    <s v="Miền Bắc"/>
    <x v="4"/>
    <n v="552600"/>
    <n v="480000"/>
    <n v="72600"/>
    <b v="1"/>
    <b v="1"/>
    <n v="1"/>
    <n v="0"/>
    <b v="1"/>
    <b v="0"/>
    <n v="552600"/>
    <n v="72600"/>
    <n v="1"/>
    <n v="1"/>
    <n v="1"/>
    <n v="1"/>
    <n v="0"/>
    <n v="72600"/>
  </r>
  <r>
    <d v="2026-01-27T00:00:00"/>
    <s v="SO2601-0099"/>
    <n v="3"/>
    <s v="KH011"/>
    <s v="VT005"/>
    <s v="WH_HN"/>
    <n v="20"/>
    <n v="0"/>
    <n v="150000"/>
    <n v="0.05"/>
    <s v="Cancelled"/>
    <d v="2026-02-06T00:00:00"/>
    <m/>
    <s v="NV Chi"/>
    <m/>
    <n v="279"/>
    <s v="Khách hàng 011"/>
    <x v="0"/>
    <x v="2"/>
    <s v="Active"/>
    <x v="2"/>
    <s v="CAT05"/>
    <x v="2"/>
    <n v="120000"/>
    <n v="150000"/>
    <s v="Active"/>
    <s v="A"/>
    <s v="Kho Hà Nội"/>
    <s v="Miền Bắc"/>
    <x v="2"/>
    <n v="0"/>
    <m/>
    <n v="0"/>
    <b v="1"/>
    <b v="0"/>
    <m/>
    <m/>
    <b v="0"/>
    <b v="0"/>
    <n v="0"/>
    <n v="0"/>
    <n v="0"/>
    <n v="0"/>
    <n v="0"/>
    <n v="0"/>
    <n v="0"/>
    <n v="0"/>
  </r>
  <r>
    <d v="2026-04-22T00:00:00"/>
    <s v="SO2604-0035"/>
    <n v="3"/>
    <s v="KH032"/>
    <s v="VT023"/>
    <s v="WH_DA"/>
    <n v="11"/>
    <n v="0"/>
    <n v="2250000"/>
    <n v="0.05"/>
    <s v="Cancelled"/>
    <d v="2026-04-23T00:00:00"/>
    <m/>
    <s v="NV Bình"/>
    <m/>
    <n v="280"/>
    <s v="Khách hàng 032"/>
    <x v="2"/>
    <x v="3"/>
    <s v="Active"/>
    <x v="3"/>
    <s v="CAT05"/>
    <x v="2"/>
    <n v="1800000"/>
    <n v="2250000"/>
    <s v="Active"/>
    <s v="A"/>
    <s v="Kho Đông Anh"/>
    <s v="Miền Bắc"/>
    <x v="4"/>
    <n v="0"/>
    <m/>
    <n v="0"/>
    <b v="1"/>
    <b v="0"/>
    <m/>
    <m/>
    <b v="0"/>
    <b v="0"/>
    <n v="0"/>
    <n v="0"/>
    <n v="0"/>
    <n v="0"/>
    <n v="0"/>
    <n v="0"/>
    <n v="0"/>
    <n v="0"/>
  </r>
  <r>
    <d v="2026-02-27T00:00:00"/>
    <s v="SO2602-0034"/>
    <n v="2"/>
    <s v="KH002"/>
    <s v="VT033"/>
    <s v="WH_DA"/>
    <n v="8"/>
    <n v="8"/>
    <n v="413000"/>
    <n v="0.05"/>
    <s v="Completed"/>
    <d v="2026-03-09T00:00:00"/>
    <d v="2026-03-09T00:00:00"/>
    <s v="NV An"/>
    <m/>
    <n v="281"/>
    <s v="Khách hàng 002"/>
    <x v="2"/>
    <x v="3"/>
    <s v="Active"/>
    <x v="11"/>
    <s v="CAT03"/>
    <x v="4"/>
    <n v="350000"/>
    <n v="413000"/>
    <s v="Active"/>
    <s v="B"/>
    <s v="Kho Đông Anh"/>
    <s v="Miền Bắc"/>
    <x v="5"/>
    <n v="3138800"/>
    <n v="2800000"/>
    <n v="338800"/>
    <b v="1"/>
    <b v="1"/>
    <n v="1"/>
    <n v="0"/>
    <b v="1"/>
    <b v="0"/>
    <n v="3138800"/>
    <n v="338800"/>
    <n v="8"/>
    <n v="8"/>
    <n v="1"/>
    <n v="1"/>
    <n v="0"/>
    <n v="338800"/>
  </r>
  <r>
    <d v="2026-06-02T00:00:00"/>
    <s v="SO2606-0013"/>
    <n v="1"/>
    <s v="KH002"/>
    <s v="VT004"/>
    <s v="WH_HN"/>
    <n v="27"/>
    <n v="26"/>
    <n v="234000"/>
    <n v="0.02"/>
    <s v="Completed"/>
    <d v="2026-06-07T00:00:00"/>
    <d v="2026-06-10T00:00:00"/>
    <s v="NV Bình"/>
    <m/>
    <n v="282"/>
    <s v="Khách hàng 002"/>
    <x v="2"/>
    <x v="3"/>
    <s v="Active"/>
    <x v="23"/>
    <s v="CAT04"/>
    <x v="0"/>
    <n v="180000"/>
    <n v="234000"/>
    <s v="Active"/>
    <s v="A"/>
    <s v="Kho Hà Nội"/>
    <s v="Miền Bắc"/>
    <x v="3"/>
    <n v="5962320"/>
    <n v="4680000"/>
    <n v="1282320"/>
    <b v="1"/>
    <b v="1"/>
    <n v="0"/>
    <n v="3"/>
    <b v="1"/>
    <b v="0"/>
    <n v="5962320"/>
    <n v="1282320"/>
    <n v="26"/>
    <n v="27"/>
    <n v="0"/>
    <n v="1"/>
    <n v="0"/>
    <n v="1282320"/>
  </r>
  <r>
    <d v="2026-02-22T00:00:00"/>
    <s v="SO2602-0003"/>
    <n v="3"/>
    <s v="KH027"/>
    <s v="VT007"/>
    <s v="WH_DN"/>
    <n v="9"/>
    <n v="8"/>
    <n v="448000"/>
    <n v="0.1"/>
    <s v="Completed"/>
    <d v="2026-03-01T00:00:00"/>
    <d v="2026-02-28T00:00:00"/>
    <s v="NV Chi"/>
    <m/>
    <n v="283"/>
    <s v="Khách hàng 027"/>
    <x v="2"/>
    <x v="0"/>
    <s v="Active"/>
    <x v="25"/>
    <s v="CAT01"/>
    <x v="5"/>
    <n v="350000"/>
    <n v="448000"/>
    <s v="Discontinued"/>
    <s v="C"/>
    <s v="Kho Đà Nẵng"/>
    <s v="Miền Trung"/>
    <x v="5"/>
    <n v="3225600"/>
    <n v="2800000"/>
    <n v="425600"/>
    <b v="1"/>
    <b v="1"/>
    <n v="1"/>
    <n v="-1"/>
    <b v="1"/>
    <b v="0"/>
    <n v="3225600"/>
    <n v="425600"/>
    <n v="8"/>
    <n v="9"/>
    <n v="1"/>
    <n v="1"/>
    <n v="0"/>
    <n v="425600"/>
  </r>
  <r>
    <d v="2026-01-30T00:00:00"/>
    <s v="SO2601-0028"/>
    <n v="4"/>
    <s v="KH013"/>
    <s v="VT013"/>
    <s v="WH_DN"/>
    <n v="-6"/>
    <n v="-6"/>
    <n v="614000"/>
    <n v="0.1"/>
    <s v="Return"/>
    <d v="2026-02-04T00:00:00"/>
    <d v="2026-02-04T00:00:00"/>
    <s v="NV Bình"/>
    <m/>
    <n v="284"/>
    <s v="Khách hàng 013"/>
    <x v="1"/>
    <x v="1"/>
    <s v="Active"/>
    <x v="12"/>
    <s v="CAT01"/>
    <x v="5"/>
    <n v="480000"/>
    <n v="614000"/>
    <s v="Active"/>
    <s v="B"/>
    <s v="Kho Đà Nẵng"/>
    <s v="Miền Trung"/>
    <x v="2"/>
    <n v="-3315600"/>
    <n v="-2880000"/>
    <n v="-435600"/>
    <b v="1"/>
    <b v="1"/>
    <n v="1"/>
    <n v="0"/>
    <b v="0"/>
    <b v="1"/>
    <n v="-3315600"/>
    <n v="-435600"/>
    <n v="0"/>
    <n v="0"/>
    <n v="1"/>
    <n v="1"/>
    <n v="-3315600"/>
    <n v="-435600"/>
  </r>
  <r>
    <d v="2026-01-11T00:00:00"/>
    <s v="SO2601-0141"/>
    <n v="4"/>
    <s v="KH014"/>
    <s v="VT031"/>
    <s v="WH_DN"/>
    <n v="16"/>
    <n v="16"/>
    <n v="2304000"/>
    <n v="0"/>
    <s v="Completed"/>
    <d v="2026-01-18T00:00:00"/>
    <d v="2026-01-21T00:00:00"/>
    <s v="NV Dũng"/>
    <m/>
    <n v="285"/>
    <s v="Khách hàng 014"/>
    <x v="2"/>
    <x v="0"/>
    <s v="Active"/>
    <x v="30"/>
    <s v="CAT01"/>
    <x v="5"/>
    <n v="1800000"/>
    <n v="2304000"/>
    <s v="Active"/>
    <s v="C"/>
    <s v="Kho Đà Nẵng"/>
    <s v="Miền Trung"/>
    <x v="2"/>
    <n v="36864000"/>
    <n v="28800000"/>
    <n v="8064000"/>
    <b v="1"/>
    <b v="1"/>
    <n v="0"/>
    <n v="3"/>
    <b v="1"/>
    <b v="0"/>
    <n v="36864000"/>
    <n v="8064000"/>
    <n v="16"/>
    <n v="16"/>
    <n v="0"/>
    <n v="1"/>
    <n v="0"/>
    <n v="8064000"/>
  </r>
  <r>
    <d v="2026-02-08T00:00:00"/>
    <s v="SO2602-0024"/>
    <n v="1"/>
    <s v="KH007"/>
    <s v="VT017"/>
    <s v="WH_DA"/>
    <n v="-5"/>
    <n v="-5"/>
    <n v="225000"/>
    <n v="0.02"/>
    <s v="Return"/>
    <d v="2026-02-13T00:00:00"/>
    <d v="2026-02-12T00:00:00"/>
    <s v="NV An"/>
    <m/>
    <n v="286"/>
    <s v="Khách hàng 007"/>
    <x v="2"/>
    <x v="2"/>
    <s v="Active"/>
    <x v="7"/>
    <s v="CAT05"/>
    <x v="2"/>
    <n v="180000"/>
    <n v="225000"/>
    <s v="Active"/>
    <s v="A"/>
    <s v="Kho Đông Anh"/>
    <s v="Miền Bắc"/>
    <x v="5"/>
    <n v="-1102500"/>
    <n v="-900000"/>
    <n v="-202500"/>
    <b v="1"/>
    <b v="1"/>
    <n v="1"/>
    <n v="-1"/>
    <b v="0"/>
    <b v="1"/>
    <n v="-1102500"/>
    <n v="-202500"/>
    <n v="0"/>
    <n v="0"/>
    <n v="1"/>
    <n v="1"/>
    <n v="-1102500"/>
    <n v="-202500"/>
  </r>
  <r>
    <d v="2026-02-14T00:00:00"/>
    <s v="SO2602-0011"/>
    <n v="3"/>
    <s v="KH024"/>
    <s v="VT021"/>
    <s v="WH_HCM"/>
    <n v="8"/>
    <n v="8"/>
    <n v="413000"/>
    <n v="0"/>
    <s v="Completed"/>
    <d v="2026-02-24T00:00:00"/>
    <d v="2026-02-27T00:00:00"/>
    <s v="NV Bình"/>
    <m/>
    <n v="287"/>
    <s v="Khách hàng 024"/>
    <x v="1"/>
    <x v="3"/>
    <s v="Active"/>
    <x v="9"/>
    <s v="CAT03"/>
    <x v="4"/>
    <n v="350000"/>
    <n v="413000"/>
    <s v="Discontinued"/>
    <s v="C"/>
    <s v="Kho HCM"/>
    <s v="Miền Nam"/>
    <x v="5"/>
    <n v="3304000"/>
    <n v="2800000"/>
    <n v="504000"/>
    <b v="1"/>
    <b v="1"/>
    <n v="0"/>
    <n v="3"/>
    <b v="1"/>
    <b v="0"/>
    <n v="3304000"/>
    <n v="504000"/>
    <n v="8"/>
    <n v="8"/>
    <n v="0"/>
    <n v="1"/>
    <n v="0"/>
    <n v="504000"/>
  </r>
  <r>
    <d v="2026-03-26T00:00:00"/>
    <s v="SO2603-0092"/>
    <n v="4"/>
    <s v="KH040"/>
    <s v="VT018"/>
    <s v="WH_HN"/>
    <n v="24"/>
    <n v="5"/>
    <n v="648000"/>
    <n v="0"/>
    <s v="Open"/>
    <d v="2026-03-31T00:00:00"/>
    <m/>
    <s v="NV Dũng"/>
    <m/>
    <n v="288"/>
    <s v="Khách hàng 040"/>
    <x v="1"/>
    <x v="0"/>
    <s v="Active"/>
    <x v="6"/>
    <s v="CAT06"/>
    <x v="1"/>
    <n v="480000"/>
    <n v="648000"/>
    <s v="Active"/>
    <s v="A"/>
    <s v="Kho Hà Nội"/>
    <s v="Miền Bắc"/>
    <x v="0"/>
    <n v="3240000"/>
    <n v="2400000"/>
    <n v="840000"/>
    <b v="1"/>
    <b v="0"/>
    <m/>
    <m/>
    <b v="1"/>
    <b v="0"/>
    <n v="3240000"/>
    <n v="840000"/>
    <n v="5"/>
    <n v="24"/>
    <n v="0"/>
    <n v="0"/>
    <n v="0"/>
    <n v="840000"/>
  </r>
  <r>
    <d v="2026-04-27T00:00:00"/>
    <s v="SO2604-0070"/>
    <n v="4"/>
    <s v="KH031"/>
    <s v="VT027"/>
    <s v="WH_DA"/>
    <n v="8"/>
    <n v="8"/>
    <n v="1062000"/>
    <n v="0"/>
    <s v="Completed"/>
    <d v="2026-04-28T00:00:00"/>
    <d v="2026-04-29T00:00:00"/>
    <s v="NV Dũng"/>
    <m/>
    <n v="289"/>
    <s v="Khách hàng 031"/>
    <x v="0"/>
    <x v="1"/>
    <s v="Inactive"/>
    <x v="16"/>
    <s v="CAT03"/>
    <x v="4"/>
    <n v="900000"/>
    <n v="1062000"/>
    <s v="Active"/>
    <s v="A"/>
    <s v="Kho Đông Anh"/>
    <s v="Miền Bắc"/>
    <x v="4"/>
    <n v="8496000"/>
    <n v="7200000"/>
    <n v="1296000"/>
    <b v="1"/>
    <b v="1"/>
    <n v="0"/>
    <n v="1"/>
    <b v="1"/>
    <b v="0"/>
    <n v="8496000"/>
    <n v="1296000"/>
    <n v="8"/>
    <n v="8"/>
    <n v="0"/>
    <n v="1"/>
    <n v="0"/>
    <n v="1296000"/>
  </r>
  <r>
    <d v="2026-05-26T00:00:00"/>
    <s v="SO2605-0113"/>
    <n v="2"/>
    <s v="KH040"/>
    <s v="VT025"/>
    <s v="WH_DN"/>
    <n v="2"/>
    <n v="0"/>
    <n v="2304000"/>
    <n v="0.1"/>
    <s v="Cancelled"/>
    <d v="2026-05-28T00:00:00"/>
    <m/>
    <s v="NV Dũng"/>
    <m/>
    <n v="290"/>
    <s v="Khách hàng 040"/>
    <x v="1"/>
    <x v="0"/>
    <s v="Active"/>
    <x v="10"/>
    <s v="CAT01"/>
    <x v="5"/>
    <n v="1800000"/>
    <n v="2304000"/>
    <s v="Active"/>
    <s v="B"/>
    <s v="Kho Đà Nẵng"/>
    <s v="Miền Trung"/>
    <x v="1"/>
    <n v="0"/>
    <m/>
    <n v="0"/>
    <b v="1"/>
    <b v="0"/>
    <m/>
    <m/>
    <b v="0"/>
    <b v="0"/>
    <n v="0"/>
    <n v="0"/>
    <n v="0"/>
    <n v="0"/>
    <n v="0"/>
    <n v="0"/>
    <n v="0"/>
    <n v="0"/>
  </r>
  <r>
    <d v="2026-05-05T00:00:00"/>
    <s v="SO2605-0029"/>
    <n v="4"/>
    <s v="KH029"/>
    <s v="VT003"/>
    <s v="WH_HN"/>
    <n v="17"/>
    <n v="16"/>
    <n v="212000"/>
    <n v="0.1"/>
    <s v="Completed"/>
    <d v="2026-05-12T00:00:00"/>
    <d v="2026-05-19T00:00:00"/>
    <s v="NV Bình"/>
    <m/>
    <n v="291"/>
    <s v="Khách hàng 029"/>
    <x v="1"/>
    <x v="3"/>
    <s v="Active"/>
    <x v="5"/>
    <s v="CAT03"/>
    <x v="4"/>
    <n v="180000"/>
    <n v="212000"/>
    <s v="Active"/>
    <s v="C"/>
    <s v="Kho Hà Nội"/>
    <s v="Miền Bắc"/>
    <x v="1"/>
    <n v="3052800"/>
    <n v="2880000"/>
    <n v="172800"/>
    <b v="1"/>
    <b v="1"/>
    <n v="0"/>
    <n v="7"/>
    <b v="1"/>
    <b v="0"/>
    <n v="3052800"/>
    <n v="172800"/>
    <n v="16"/>
    <n v="17"/>
    <n v="0"/>
    <n v="1"/>
    <n v="0"/>
    <n v="172800"/>
  </r>
  <r>
    <d v="2026-06-21T00:00:00"/>
    <s v="SO2606-0087"/>
    <n v="1"/>
    <s v="KH028"/>
    <s v="VT016"/>
    <s v="WH_HCM"/>
    <n v="23"/>
    <n v="23"/>
    <n v="845000"/>
    <n v="0"/>
    <s v="Completed"/>
    <d v="2026-06-28T00:00:00"/>
    <d v="2026-06-30T00:00:00"/>
    <s v="NV An"/>
    <m/>
    <n v="292"/>
    <s v="Khách hàng 028"/>
    <x v="1"/>
    <x v="1"/>
    <s v="Active"/>
    <x v="13"/>
    <s v="CAT04"/>
    <x v="0"/>
    <n v="650000"/>
    <n v="845000"/>
    <s v="Active"/>
    <s v="C"/>
    <s v="Kho HCM"/>
    <s v="Miền Nam"/>
    <x v="3"/>
    <n v="19435000"/>
    <n v="14950000"/>
    <n v="4485000"/>
    <b v="1"/>
    <b v="1"/>
    <n v="0"/>
    <n v="2"/>
    <b v="1"/>
    <b v="0"/>
    <n v="19435000"/>
    <n v="4485000"/>
    <n v="23"/>
    <n v="23"/>
    <n v="0"/>
    <n v="1"/>
    <n v="0"/>
    <n v="4485000"/>
  </r>
  <r>
    <d v="2026-01-03T00:00:00"/>
    <s v="SO2601-0041"/>
    <n v="4"/>
    <s v="KH032"/>
    <s v="VT011"/>
    <s v="WH_HN"/>
    <n v="32"/>
    <n v="32"/>
    <n v="437000"/>
    <n v="0"/>
    <s v="Completed"/>
    <d v="2026-01-10T00:00:00"/>
    <d v="2026-01-10T00:00:00"/>
    <s v="NV Dũng"/>
    <m/>
    <n v="293"/>
    <s v="Khách hàng 032"/>
    <x v="2"/>
    <x v="3"/>
    <s v="Active"/>
    <x v="33"/>
    <s v="CAT05"/>
    <x v="2"/>
    <n v="350000"/>
    <n v="437000"/>
    <s v="Active"/>
    <s v="A"/>
    <s v="Kho Hà Nội"/>
    <s v="Miền Bắc"/>
    <x v="2"/>
    <n v="13984000"/>
    <n v="11200000"/>
    <n v="2784000"/>
    <b v="1"/>
    <b v="1"/>
    <n v="1"/>
    <n v="0"/>
    <b v="1"/>
    <b v="0"/>
    <n v="13984000"/>
    <n v="2784000"/>
    <n v="32"/>
    <n v="32"/>
    <n v="1"/>
    <n v="1"/>
    <n v="0"/>
    <n v="2784000"/>
  </r>
  <r>
    <d v="2026-04-14T00:00:00"/>
    <s v="SO2604-0061"/>
    <n v="1"/>
    <s v="KH030"/>
    <s v="VT029"/>
    <s v="WH_HCM"/>
    <n v="6"/>
    <n v="0"/>
    <n v="1125000"/>
    <n v="0.05"/>
    <s v="Cancelled"/>
    <d v="2026-04-17T00:00:00"/>
    <m/>
    <s v="NV An"/>
    <m/>
    <n v="294"/>
    <s v="Khách hàng 030"/>
    <x v="2"/>
    <x v="1"/>
    <s v="Active"/>
    <x v="15"/>
    <s v="CAT05"/>
    <x v="2"/>
    <n v="900000"/>
    <n v="1125000"/>
    <s v="Active"/>
    <s v="A"/>
    <s v="Kho HCM"/>
    <s v="Miền Nam"/>
    <x v="4"/>
    <n v="0"/>
    <m/>
    <n v="0"/>
    <b v="1"/>
    <b v="0"/>
    <m/>
    <m/>
    <b v="0"/>
    <b v="0"/>
    <n v="0"/>
    <n v="0"/>
    <n v="0"/>
    <n v="0"/>
    <n v="0"/>
    <n v="0"/>
    <n v="0"/>
    <n v="0"/>
  </r>
  <r>
    <d v="2026-05-08T00:00:00"/>
    <s v="SO2605-0005"/>
    <n v="1"/>
    <s v="KH026"/>
    <s v="VT027"/>
    <s v="WH_HN"/>
    <n v="1"/>
    <n v="0"/>
    <n v="1062000"/>
    <n v="0.08"/>
    <s v="Open"/>
    <d v="2026-05-15T00:00:00"/>
    <m/>
    <s v="NV Chi"/>
    <m/>
    <n v="295"/>
    <s v="Khách hàng 026"/>
    <x v="2"/>
    <x v="1"/>
    <s v="Active"/>
    <x v="16"/>
    <s v="CAT03"/>
    <x v="4"/>
    <n v="900000"/>
    <n v="1062000"/>
    <s v="Active"/>
    <s v="A"/>
    <s v="Kho Hà Nội"/>
    <s v="Miền Bắc"/>
    <x v="1"/>
    <n v="0"/>
    <n v="0"/>
    <n v="0"/>
    <b v="1"/>
    <b v="0"/>
    <m/>
    <m/>
    <b v="1"/>
    <b v="0"/>
    <n v="0"/>
    <n v="0"/>
    <n v="0"/>
    <n v="1"/>
    <n v="0"/>
    <n v="0"/>
    <n v="0"/>
    <n v="0"/>
  </r>
  <r>
    <d v="2026-05-11T00:00:00"/>
    <s v="SO2605-0144"/>
    <n v="2"/>
    <s v="KH030"/>
    <s v="VT022"/>
    <s v="WH_DN"/>
    <n v="4"/>
    <n v="3"/>
    <n v="234000"/>
    <n v="0.02"/>
    <s v="Open"/>
    <d v="2026-05-18T00:00:00"/>
    <m/>
    <s v="NV Dũng"/>
    <m/>
    <n v="296"/>
    <s v="Khách hàng 030"/>
    <x v="2"/>
    <x v="1"/>
    <s v="Active"/>
    <x v="28"/>
    <s v="CAT04"/>
    <x v="0"/>
    <n v="180000"/>
    <n v="234000"/>
    <s v="Active"/>
    <s v="A"/>
    <s v="Kho Đà Nẵng"/>
    <s v="Miền Trung"/>
    <x v="1"/>
    <n v="687960"/>
    <n v="540000"/>
    <n v="147960"/>
    <b v="1"/>
    <b v="0"/>
    <m/>
    <m/>
    <b v="1"/>
    <b v="0"/>
    <n v="687960"/>
    <n v="147960"/>
    <n v="3"/>
    <n v="4"/>
    <n v="0"/>
    <n v="0"/>
    <n v="0"/>
    <n v="147960"/>
  </r>
  <r>
    <d v="2026-06-18T00:00:00"/>
    <s v="SO2606-0094"/>
    <n v="4"/>
    <s v="KH008"/>
    <s v="VT007"/>
    <s v="WH_DA"/>
    <n v="1"/>
    <n v="1"/>
    <n v="448000"/>
    <n v="0.08"/>
    <s v="Completed"/>
    <d v="2026-06-25T00:00:00"/>
    <d v="2026-06-25T00:00:00"/>
    <s v="NV An"/>
    <m/>
    <n v="297"/>
    <s v="Khách hàng 008"/>
    <x v="1"/>
    <x v="2"/>
    <s v="Active"/>
    <x v="25"/>
    <s v="CAT01"/>
    <x v="5"/>
    <n v="350000"/>
    <n v="448000"/>
    <s v="Discontinued"/>
    <s v="C"/>
    <s v="Kho Đông Anh"/>
    <s v="Miền Bắc"/>
    <x v="3"/>
    <n v="412160"/>
    <n v="350000"/>
    <n v="62160"/>
    <b v="1"/>
    <b v="1"/>
    <n v="1"/>
    <n v="0"/>
    <b v="1"/>
    <b v="0"/>
    <n v="412160"/>
    <n v="62160"/>
    <n v="1"/>
    <n v="1"/>
    <n v="1"/>
    <n v="1"/>
    <n v="0"/>
    <n v="62160"/>
  </r>
  <r>
    <d v="2026-01-12T00:00:00"/>
    <s v="SO2601-0043"/>
    <n v="4"/>
    <s v="KH009"/>
    <s v="VT027"/>
    <s v="WH_HN"/>
    <n v="17"/>
    <n v="17"/>
    <n v="1062000"/>
    <n v="0.05"/>
    <s v="Completed"/>
    <d v="2026-01-14T00:00:00"/>
    <d v="2026-01-15T00:00:00"/>
    <s v="NV Bình"/>
    <m/>
    <n v="298"/>
    <s v="Khách hàng 009"/>
    <x v="2"/>
    <x v="3"/>
    <s v="Inactive"/>
    <x v="16"/>
    <s v="CAT03"/>
    <x v="4"/>
    <n v="900000"/>
    <n v="1062000"/>
    <s v="Active"/>
    <s v="A"/>
    <s v="Kho Hà Nội"/>
    <s v="Miền Bắc"/>
    <x v="2"/>
    <n v="17151300"/>
    <n v="15300000"/>
    <n v="1851300"/>
    <b v="1"/>
    <b v="1"/>
    <n v="0"/>
    <n v="1"/>
    <b v="1"/>
    <b v="0"/>
    <n v="17151300"/>
    <n v="1851300"/>
    <n v="17"/>
    <n v="17"/>
    <n v="0"/>
    <n v="1"/>
    <n v="0"/>
    <n v="1851300"/>
  </r>
  <r>
    <d v="2026-03-28T00:00:00"/>
    <s v="SO2603-0028"/>
    <n v="4"/>
    <s v="KH003"/>
    <s v="VT008"/>
    <s v="WH_HCM"/>
    <n v="30"/>
    <n v="30"/>
    <n v="2196000"/>
    <n v="0.05"/>
    <s v="Completed"/>
    <d v="2026-03-29T00:00:00"/>
    <d v="2026-03-31T00:00:00"/>
    <s v="NV An"/>
    <m/>
    <n v="299"/>
    <s v="Khách hàng 003"/>
    <x v="2"/>
    <x v="2"/>
    <s v="Active"/>
    <x v="24"/>
    <s v="CAT02"/>
    <x v="3"/>
    <n v="1800000"/>
    <n v="2196000"/>
    <s v="Active"/>
    <s v="B"/>
    <s v="Kho HCM"/>
    <s v="Miền Nam"/>
    <x v="0"/>
    <n v="62586000"/>
    <n v="54000000"/>
    <n v="8586000"/>
    <b v="1"/>
    <b v="1"/>
    <n v="0"/>
    <n v="2"/>
    <b v="1"/>
    <b v="0"/>
    <n v="62586000"/>
    <n v="8586000"/>
    <n v="30"/>
    <n v="30"/>
    <n v="0"/>
    <n v="1"/>
    <n v="0"/>
    <n v="8586000"/>
  </r>
  <r>
    <d v="2026-05-22T00:00:00"/>
    <s v="SO2605-0111"/>
    <n v="4"/>
    <s v="KH033"/>
    <s v="VT012"/>
    <s v="WH_DA"/>
    <n v="9"/>
    <n v="6"/>
    <n v="1215000"/>
    <n v="0.08"/>
    <s v="Completed"/>
    <d v="2026-05-25T00:00:00"/>
    <d v="2026-05-27T00:00:00"/>
    <s v="NV Dũng"/>
    <m/>
    <n v="300"/>
    <s v="Khách hàng 033"/>
    <x v="1"/>
    <x v="1"/>
    <s v="Active"/>
    <x v="19"/>
    <s v="CAT06"/>
    <x v="1"/>
    <n v="900000"/>
    <n v="1215000"/>
    <s v="Active"/>
    <s v="B"/>
    <s v="Kho Đông Anh"/>
    <s v="Miền Bắc"/>
    <x v="1"/>
    <n v="6706800"/>
    <n v="5400000"/>
    <n v="1306800"/>
    <b v="1"/>
    <b v="1"/>
    <n v="0"/>
    <n v="2"/>
    <b v="1"/>
    <b v="0"/>
    <n v="6706800"/>
    <n v="1306800"/>
    <n v="6"/>
    <n v="9"/>
    <n v="0"/>
    <n v="1"/>
    <n v="0"/>
    <n v="1306800"/>
  </r>
  <r>
    <d v="2026-04-18T00:00:00"/>
    <s v="SO2604-0064"/>
    <n v="3"/>
    <s v="KH026"/>
    <s v="VT022"/>
    <s v="WH_DN"/>
    <n v="29"/>
    <n v="4"/>
    <n v="234000"/>
    <n v="0.05"/>
    <s v="Open"/>
    <d v="2026-04-25T00:00:00"/>
    <m/>
    <s v="NV Chi"/>
    <m/>
    <n v="301"/>
    <s v="Khách hàng 026"/>
    <x v="2"/>
    <x v="1"/>
    <s v="Active"/>
    <x v="28"/>
    <s v="CAT04"/>
    <x v="0"/>
    <n v="180000"/>
    <n v="234000"/>
    <s v="Active"/>
    <s v="A"/>
    <s v="Kho Đà Nẵng"/>
    <s v="Miền Trung"/>
    <x v="4"/>
    <n v="889200"/>
    <n v="720000"/>
    <n v="169200"/>
    <b v="1"/>
    <b v="0"/>
    <m/>
    <m/>
    <b v="1"/>
    <b v="0"/>
    <n v="889200"/>
    <n v="169200"/>
    <n v="4"/>
    <n v="29"/>
    <n v="0"/>
    <n v="0"/>
    <n v="0"/>
    <n v="169200"/>
  </r>
  <r>
    <d v="2026-06-29T00:00:00"/>
    <s v="SO2606-0141"/>
    <n v="3"/>
    <s v="KH036"/>
    <s v="VT014"/>
    <s v="WH_DA"/>
    <n v="14"/>
    <n v="12"/>
    <n v="2196000"/>
    <n v="0.02"/>
    <s v="Completed"/>
    <d v="2026-07-09T00:00:00"/>
    <d v="2026-07-09T00:00:00"/>
    <s v="NV Bình"/>
    <m/>
    <n v="302"/>
    <s v="Khách hàng 036"/>
    <x v="0"/>
    <x v="0"/>
    <s v="Active"/>
    <x v="34"/>
    <s v="CAT02"/>
    <x v="3"/>
    <n v="1800000"/>
    <n v="2196000"/>
    <s v="Active"/>
    <s v="A"/>
    <s v="Kho Đông Anh"/>
    <s v="Miền Bắc"/>
    <x v="3"/>
    <n v="25824960"/>
    <n v="21600000"/>
    <n v="4224960"/>
    <b v="1"/>
    <b v="1"/>
    <n v="1"/>
    <n v="0"/>
    <b v="1"/>
    <b v="0"/>
    <n v="25824960"/>
    <n v="4224960"/>
    <n v="12"/>
    <n v="14"/>
    <n v="1"/>
    <n v="1"/>
    <n v="0"/>
    <n v="4224960"/>
  </r>
  <r>
    <d v="2026-05-09T00:00:00"/>
    <s v="SO2605-0139"/>
    <n v="3"/>
    <s v="KH008"/>
    <s v="VT023"/>
    <s v="WH_HCM"/>
    <n v="27"/>
    <n v="27"/>
    <n v="2250000"/>
    <n v="0.05"/>
    <s v="Completed"/>
    <d v="2026-05-10T00:00:00"/>
    <d v="2026-05-12T00:00:00"/>
    <s v="NV An"/>
    <m/>
    <n v="303"/>
    <s v="Khách hàng 008"/>
    <x v="1"/>
    <x v="2"/>
    <s v="Active"/>
    <x v="3"/>
    <s v="CAT05"/>
    <x v="2"/>
    <n v="1800000"/>
    <n v="2250000"/>
    <s v="Active"/>
    <s v="A"/>
    <s v="Kho HCM"/>
    <s v="Miền Nam"/>
    <x v="1"/>
    <n v="57712500"/>
    <n v="48600000"/>
    <n v="9112500"/>
    <b v="1"/>
    <b v="1"/>
    <n v="0"/>
    <n v="2"/>
    <b v="1"/>
    <b v="0"/>
    <n v="57712500"/>
    <n v="9112500"/>
    <n v="27"/>
    <n v="27"/>
    <n v="0"/>
    <n v="1"/>
    <n v="0"/>
    <n v="9112500"/>
  </r>
  <r>
    <d v="2026-01-07T00:00:00"/>
    <s v="SO2601-0098"/>
    <n v="2"/>
    <s v="KH004"/>
    <s v="VT004"/>
    <s v="WH_DA"/>
    <n v="18"/>
    <n v="5"/>
    <n v="234000"/>
    <n v="0.02"/>
    <s v="Open"/>
    <d v="2026-01-17T00:00:00"/>
    <m/>
    <s v="NV Chi"/>
    <m/>
    <n v="304"/>
    <s v="Khách hàng 004"/>
    <x v="0"/>
    <x v="1"/>
    <s v="Active"/>
    <x v="23"/>
    <s v="CAT04"/>
    <x v="0"/>
    <n v="180000"/>
    <n v="234000"/>
    <s v="Active"/>
    <s v="A"/>
    <s v="Kho Đông Anh"/>
    <s v="Miền Bắc"/>
    <x v="2"/>
    <n v="1146600"/>
    <n v="900000"/>
    <n v="246600"/>
    <b v="1"/>
    <b v="0"/>
    <m/>
    <m/>
    <b v="1"/>
    <b v="0"/>
    <n v="1146600"/>
    <n v="246600"/>
    <n v="5"/>
    <n v="18"/>
    <n v="0"/>
    <n v="0"/>
    <n v="0"/>
    <n v="246600"/>
  </r>
  <r>
    <d v="2026-02-07T00:00:00"/>
    <s v="SO2602-0016"/>
    <n v="3"/>
    <s v="KH014"/>
    <s v="VT035"/>
    <s v="WH_HN"/>
    <n v="23"/>
    <n v="3"/>
    <n v="312000"/>
    <n v="0.08"/>
    <s v="Open"/>
    <d v="2026-02-17T00:00:00"/>
    <m/>
    <s v="NV Bình"/>
    <m/>
    <n v="305"/>
    <s v="Khách hàng 014"/>
    <x v="2"/>
    <x v="0"/>
    <s v="Active"/>
    <x v="18"/>
    <s v="CAT05"/>
    <x v="2"/>
    <n v="250000"/>
    <n v="312000"/>
    <s v="Discontinued"/>
    <s v="C"/>
    <s v="Kho Hà Nội"/>
    <s v="Miền Bắc"/>
    <x v="5"/>
    <n v="861120"/>
    <n v="750000"/>
    <n v="111120"/>
    <b v="1"/>
    <b v="0"/>
    <m/>
    <m/>
    <b v="1"/>
    <b v="0"/>
    <n v="861120"/>
    <n v="111120"/>
    <n v="3"/>
    <n v="23"/>
    <n v="0"/>
    <n v="0"/>
    <n v="0"/>
    <n v="111120"/>
  </r>
  <r>
    <d v="2026-06-15T00:00:00"/>
    <s v="SO2606-0144"/>
    <n v="4"/>
    <s v="KH016"/>
    <s v="VT033"/>
    <s v="WH_DN"/>
    <n v="4"/>
    <n v="0"/>
    <n v="413000"/>
    <n v="0.05"/>
    <s v="Cancelled"/>
    <d v="2026-06-20T00:00:00"/>
    <m/>
    <s v="NV Chi"/>
    <m/>
    <n v="306"/>
    <s v="Khách hàng 016"/>
    <x v="0"/>
    <x v="1"/>
    <s v="Active"/>
    <x v="11"/>
    <s v="CAT03"/>
    <x v="4"/>
    <n v="350000"/>
    <n v="413000"/>
    <s v="Active"/>
    <s v="B"/>
    <s v="Kho Đà Nẵng"/>
    <s v="Miền Trung"/>
    <x v="3"/>
    <n v="0"/>
    <m/>
    <n v="0"/>
    <b v="1"/>
    <b v="0"/>
    <m/>
    <m/>
    <b v="0"/>
    <b v="0"/>
    <n v="0"/>
    <n v="0"/>
    <n v="0"/>
    <n v="0"/>
    <n v="0"/>
    <n v="0"/>
    <n v="0"/>
    <n v="0"/>
  </r>
  <r>
    <d v="2026-05-22T00:00:00"/>
    <s v="SO2605-0014"/>
    <n v="1"/>
    <s v="KH017"/>
    <s v="VT013"/>
    <s v="WH_HCM"/>
    <n v="15"/>
    <n v="0"/>
    <n v="614000"/>
    <n v="0.1"/>
    <s v="Cancelled"/>
    <d v="2026-06-01T00:00:00"/>
    <m/>
    <s v="NV Chi"/>
    <m/>
    <n v="307"/>
    <s v="Khách hàng 017"/>
    <x v="2"/>
    <x v="0"/>
    <s v="Active"/>
    <x v="12"/>
    <s v="CAT01"/>
    <x v="5"/>
    <n v="480000"/>
    <n v="614000"/>
    <s v="Active"/>
    <s v="B"/>
    <s v="Kho HCM"/>
    <s v="Miền Nam"/>
    <x v="1"/>
    <n v="0"/>
    <m/>
    <n v="0"/>
    <b v="1"/>
    <b v="0"/>
    <m/>
    <m/>
    <b v="0"/>
    <b v="0"/>
    <n v="0"/>
    <n v="0"/>
    <n v="0"/>
    <n v="0"/>
    <n v="0"/>
    <n v="0"/>
    <n v="0"/>
    <n v="0"/>
  </r>
  <r>
    <d v="2026-05-31T00:00:00"/>
    <s v="SO2605-0140"/>
    <n v="2"/>
    <s v="KH013"/>
    <s v="VT019"/>
    <s v="WH_HCM"/>
    <n v="-2"/>
    <n v="-2"/>
    <n v="1152000"/>
    <n v="0"/>
    <s v="Return"/>
    <d v="2026-06-02T00:00:00"/>
    <d v="2026-06-05T00:00:00"/>
    <s v="NV An"/>
    <m/>
    <n v="308"/>
    <s v="Khách hàng 013"/>
    <x v="1"/>
    <x v="1"/>
    <s v="Active"/>
    <x v="27"/>
    <s v="CAT01"/>
    <x v="5"/>
    <n v="900000"/>
    <n v="1152000"/>
    <s v="Active"/>
    <s v="C"/>
    <s v="Kho HCM"/>
    <s v="Miền Nam"/>
    <x v="1"/>
    <n v="-2304000"/>
    <n v="-1800000"/>
    <n v="-504000"/>
    <b v="1"/>
    <b v="1"/>
    <n v="0"/>
    <n v="3"/>
    <b v="0"/>
    <b v="1"/>
    <n v="-2304000"/>
    <n v="-504000"/>
    <n v="0"/>
    <n v="0"/>
    <n v="0"/>
    <n v="1"/>
    <n v="-2304000"/>
    <n v="-504000"/>
  </r>
  <r>
    <d v="2026-04-07T00:00:00"/>
    <s v="SO2604-0011"/>
    <n v="4"/>
    <s v="KH018"/>
    <s v="VT036"/>
    <s v="WH_DN"/>
    <n v="9"/>
    <n v="9"/>
    <n v="243000"/>
    <n v="0.02"/>
    <s v="Completed"/>
    <d v="2026-04-12T00:00:00"/>
    <d v="2026-04-15T00:00:00"/>
    <s v="NV Bình"/>
    <m/>
    <n v="309"/>
    <s v="Khách hàng 018"/>
    <x v="0"/>
    <x v="2"/>
    <s v="Active"/>
    <x v="14"/>
    <s v="CAT06"/>
    <x v="1"/>
    <n v="180000"/>
    <n v="243000"/>
    <s v="Active"/>
    <s v="C"/>
    <s v="Kho Đà Nẵng"/>
    <s v="Miền Trung"/>
    <x v="4"/>
    <n v="2143260"/>
    <n v="1620000"/>
    <n v="523260"/>
    <b v="1"/>
    <b v="1"/>
    <n v="0"/>
    <n v="3"/>
    <b v="1"/>
    <b v="0"/>
    <n v="2143260"/>
    <n v="523260"/>
    <n v="9"/>
    <n v="9"/>
    <n v="0"/>
    <n v="1"/>
    <n v="0"/>
    <n v="523260"/>
  </r>
  <r>
    <d v="2026-01-11T00:00:00"/>
    <s v="SO2601-0040"/>
    <n v="3"/>
    <s v="KH039"/>
    <s v="VT004"/>
    <s v="WH_DN"/>
    <n v="32"/>
    <n v="22"/>
    <n v="234000"/>
    <n v="0"/>
    <s v="Open"/>
    <d v="2026-01-21T00:00:00"/>
    <m/>
    <s v="NV Chi"/>
    <m/>
    <n v="310"/>
    <s v="Khách hàng 039"/>
    <x v="2"/>
    <x v="3"/>
    <s v="Active"/>
    <x v="23"/>
    <s v="CAT04"/>
    <x v="0"/>
    <n v="180000"/>
    <n v="234000"/>
    <s v="Active"/>
    <s v="A"/>
    <s v="Kho Đà Nẵng"/>
    <s v="Miền Trung"/>
    <x v="2"/>
    <n v="5148000"/>
    <n v="3960000"/>
    <n v="1188000"/>
    <b v="1"/>
    <b v="0"/>
    <m/>
    <m/>
    <b v="1"/>
    <b v="0"/>
    <n v="5148000"/>
    <n v="1188000"/>
    <n v="22"/>
    <n v="32"/>
    <n v="0"/>
    <n v="0"/>
    <n v="0"/>
    <n v="1188000"/>
  </r>
  <r>
    <d v="2026-05-15T00:00:00"/>
    <s v="SO2605-0057"/>
    <n v="2"/>
    <s v="KH034"/>
    <s v="VT005"/>
    <s v="WH_DA"/>
    <n v="27"/>
    <n v="27"/>
    <n v="150000"/>
    <n v="0.02"/>
    <s v="Completed"/>
    <d v="2026-05-17T00:00:00"/>
    <d v="2026-05-17T00:00:00"/>
    <s v="NV Chi"/>
    <m/>
    <n v="311"/>
    <s v="Khách hàng 034"/>
    <x v="1"/>
    <x v="0"/>
    <s v="Active"/>
    <x v="2"/>
    <s v="CAT05"/>
    <x v="2"/>
    <n v="120000"/>
    <n v="150000"/>
    <s v="Active"/>
    <s v="A"/>
    <s v="Kho Đông Anh"/>
    <s v="Miền Bắc"/>
    <x v="1"/>
    <n v="3969000"/>
    <n v="3240000"/>
    <n v="729000"/>
    <b v="1"/>
    <b v="1"/>
    <n v="1"/>
    <n v="0"/>
    <b v="1"/>
    <b v="0"/>
    <n v="3969000"/>
    <n v="729000"/>
    <n v="27"/>
    <n v="27"/>
    <n v="1"/>
    <n v="1"/>
    <n v="0"/>
    <n v="729000"/>
  </r>
  <r>
    <d v="2026-03-26T00:00:00"/>
    <s v="SO2603-0093"/>
    <n v="3"/>
    <s v="KH014"/>
    <s v="VT034"/>
    <s v="WH_HCM"/>
    <n v="1"/>
    <n v="1"/>
    <n v="234000"/>
    <n v="0"/>
    <s v="Completed"/>
    <d v="2026-04-05T00:00:00"/>
    <d v="2026-04-07T00:00:00"/>
    <s v="NV Bình"/>
    <m/>
    <n v="312"/>
    <s v="Khách hàng 014"/>
    <x v="2"/>
    <x v="0"/>
    <s v="Active"/>
    <x v="22"/>
    <s v="CAT04"/>
    <x v="0"/>
    <n v="180000"/>
    <n v="234000"/>
    <s v="Active"/>
    <s v="A"/>
    <s v="Kho HCM"/>
    <s v="Miền Nam"/>
    <x v="0"/>
    <n v="234000"/>
    <n v="180000"/>
    <n v="54000"/>
    <b v="1"/>
    <b v="1"/>
    <n v="0"/>
    <n v="2"/>
    <b v="1"/>
    <b v="0"/>
    <n v="234000"/>
    <n v="54000"/>
    <n v="1"/>
    <n v="1"/>
    <n v="0"/>
    <n v="1"/>
    <n v="0"/>
    <n v="54000"/>
  </r>
  <r>
    <d v="2026-01-11T00:00:00"/>
    <s v="SO2601-0083"/>
    <n v="4"/>
    <s v="KH008"/>
    <s v="VT025"/>
    <s v="WH_DN"/>
    <n v="35"/>
    <n v="1"/>
    <n v="2304000"/>
    <n v="0.08"/>
    <s v="Open"/>
    <d v="2026-01-14T00:00:00"/>
    <m/>
    <s v="NV Dũng"/>
    <m/>
    <n v="313"/>
    <s v="Khách hàng 008"/>
    <x v="1"/>
    <x v="2"/>
    <s v="Active"/>
    <x v="10"/>
    <s v="CAT01"/>
    <x v="5"/>
    <n v="1800000"/>
    <n v="2304000"/>
    <s v="Active"/>
    <s v="B"/>
    <s v="Kho Đà Nẵng"/>
    <s v="Miền Trung"/>
    <x v="2"/>
    <n v="2119680"/>
    <n v="1800000"/>
    <n v="319680"/>
    <b v="1"/>
    <b v="0"/>
    <m/>
    <m/>
    <b v="1"/>
    <b v="0"/>
    <n v="2119680"/>
    <n v="319680"/>
    <n v="1"/>
    <n v="35"/>
    <n v="0"/>
    <n v="0"/>
    <n v="0"/>
    <n v="319680"/>
  </r>
  <r>
    <d v="2026-05-05T00:00:00"/>
    <s v="SO2605-0012"/>
    <n v="3"/>
    <s v="KH013"/>
    <s v="VT021"/>
    <s v="WH_HN"/>
    <n v="7"/>
    <n v="4"/>
    <n v="413000"/>
    <n v="0"/>
    <s v="Completed"/>
    <d v="2026-05-15T00:00:00"/>
    <d v="2026-05-14T00:00:00"/>
    <s v="NV Bình"/>
    <m/>
    <n v="314"/>
    <s v="Khách hàng 013"/>
    <x v="1"/>
    <x v="1"/>
    <s v="Active"/>
    <x v="9"/>
    <s v="CAT03"/>
    <x v="4"/>
    <n v="350000"/>
    <n v="413000"/>
    <s v="Discontinued"/>
    <s v="C"/>
    <s v="Kho Hà Nội"/>
    <s v="Miền Bắc"/>
    <x v="1"/>
    <n v="1652000"/>
    <n v="1400000"/>
    <n v="252000"/>
    <b v="1"/>
    <b v="1"/>
    <n v="1"/>
    <n v="-1"/>
    <b v="1"/>
    <b v="0"/>
    <n v="1652000"/>
    <n v="252000"/>
    <n v="4"/>
    <n v="7"/>
    <n v="1"/>
    <n v="1"/>
    <n v="0"/>
    <n v="252000"/>
  </r>
  <r>
    <d v="2026-06-21T00:00:00"/>
    <s v="SO2606-0055"/>
    <n v="4"/>
    <s v="KH007"/>
    <s v="VT014"/>
    <s v="WH_HCM"/>
    <n v="5"/>
    <n v="1"/>
    <n v="2196000"/>
    <n v="0"/>
    <s v="Open"/>
    <d v="2026-06-26T00:00:00"/>
    <m/>
    <s v="NV Chi"/>
    <m/>
    <n v="315"/>
    <s v="Khách hàng 007"/>
    <x v="2"/>
    <x v="2"/>
    <s v="Active"/>
    <x v="34"/>
    <s v="CAT02"/>
    <x v="3"/>
    <n v="1800000"/>
    <n v="2196000"/>
    <s v="Active"/>
    <s v="A"/>
    <s v="Kho HCM"/>
    <s v="Miền Nam"/>
    <x v="3"/>
    <n v="2196000"/>
    <n v="1800000"/>
    <n v="396000"/>
    <b v="1"/>
    <b v="0"/>
    <m/>
    <m/>
    <b v="1"/>
    <b v="0"/>
    <n v="2196000"/>
    <n v="396000"/>
    <n v="1"/>
    <n v="5"/>
    <n v="0"/>
    <n v="0"/>
    <n v="0"/>
    <n v="396000"/>
  </r>
  <r>
    <d v="2026-01-10T00:00:00"/>
    <s v="SO2601-0023"/>
    <n v="1"/>
    <s v="KH004"/>
    <s v="VT012"/>
    <s v="WH_DN"/>
    <n v="5"/>
    <n v="5"/>
    <n v="1215000"/>
    <n v="0.05"/>
    <s v="Completed"/>
    <d v="2026-01-15T00:00:00"/>
    <d v="2026-01-16T00:00:00"/>
    <s v="NV Dũng"/>
    <m/>
    <n v="316"/>
    <s v="Khách hàng 004"/>
    <x v="0"/>
    <x v="1"/>
    <s v="Active"/>
    <x v="19"/>
    <s v="CAT06"/>
    <x v="1"/>
    <n v="900000"/>
    <n v="1215000"/>
    <s v="Active"/>
    <s v="B"/>
    <s v="Kho Đà Nẵng"/>
    <s v="Miền Trung"/>
    <x v="2"/>
    <n v="5771250"/>
    <n v="4500000"/>
    <n v="1271250"/>
    <b v="1"/>
    <b v="1"/>
    <n v="0"/>
    <n v="1"/>
    <b v="1"/>
    <b v="0"/>
    <n v="5771250"/>
    <n v="1271250"/>
    <n v="5"/>
    <n v="5"/>
    <n v="0"/>
    <n v="1"/>
    <n v="0"/>
    <n v="1271250"/>
  </r>
  <r>
    <d v="2026-04-21T00:00:00"/>
    <s v="SO2604-0081"/>
    <n v="1"/>
    <s v="KH025"/>
    <s v="VT008"/>
    <s v="WH_HN"/>
    <n v="5"/>
    <n v="4"/>
    <n v="2196000"/>
    <n v="0"/>
    <s v="Open"/>
    <d v="2026-05-01T00:00:00"/>
    <m/>
    <s v="NV An"/>
    <m/>
    <n v="317"/>
    <s v="Khách hàng 025"/>
    <x v="1"/>
    <x v="0"/>
    <s v="Active"/>
    <x v="24"/>
    <s v="CAT02"/>
    <x v="3"/>
    <n v="1800000"/>
    <n v="2196000"/>
    <s v="Active"/>
    <s v="B"/>
    <s v="Kho Hà Nội"/>
    <s v="Miền Bắc"/>
    <x v="4"/>
    <n v="8784000"/>
    <n v="7200000"/>
    <n v="1584000"/>
    <b v="1"/>
    <b v="0"/>
    <m/>
    <m/>
    <b v="1"/>
    <b v="0"/>
    <n v="8784000"/>
    <n v="1584000"/>
    <n v="4"/>
    <n v="5"/>
    <n v="0"/>
    <n v="0"/>
    <n v="0"/>
    <n v="1584000"/>
  </r>
  <r>
    <d v="2026-04-02T00:00:00"/>
    <s v="SO2604-0129"/>
    <n v="1"/>
    <s v="KH019"/>
    <s v="VT020"/>
    <s v="WH_HN"/>
    <n v="19"/>
    <n v="14"/>
    <n v="793000"/>
    <n v="0.05"/>
    <s v="Open"/>
    <d v="2026-04-07T00:00:00"/>
    <m/>
    <s v="NV An"/>
    <m/>
    <n v="318"/>
    <s v="Khách hàng 019"/>
    <x v="2"/>
    <x v="1"/>
    <s v="Active"/>
    <x v="36"/>
    <s v="CAT02"/>
    <x v="3"/>
    <n v="650000"/>
    <n v="793000"/>
    <s v="Active"/>
    <s v="B"/>
    <s v="Kho Hà Nội"/>
    <s v="Miền Bắc"/>
    <x v="4"/>
    <n v="10546900"/>
    <n v="9100000"/>
    <n v="1446900"/>
    <b v="1"/>
    <b v="0"/>
    <m/>
    <m/>
    <b v="1"/>
    <b v="0"/>
    <n v="10546900"/>
    <n v="1446900"/>
    <n v="14"/>
    <n v="19"/>
    <n v="0"/>
    <n v="0"/>
    <n v="0"/>
    <n v="1446900"/>
  </r>
  <r>
    <d v="2026-05-02T00:00:00"/>
    <s v="SO2605-0041"/>
    <n v="2"/>
    <s v="KH009"/>
    <s v="VT026"/>
    <s v="WH_DN"/>
    <n v="10"/>
    <n v="7"/>
    <n v="146000"/>
    <n v="0.02"/>
    <s v="Completed"/>
    <d v="2026-05-03T00:00:00"/>
    <d v="2026-05-05T00:00:00"/>
    <s v="NV Bình"/>
    <m/>
    <n v="319"/>
    <s v="Khách hàng 009"/>
    <x v="2"/>
    <x v="3"/>
    <s v="Inactive"/>
    <x v="29"/>
    <s v="CAT02"/>
    <x v="3"/>
    <n v="120000"/>
    <n v="146000"/>
    <s v="Active"/>
    <s v="B"/>
    <s v="Kho Đà Nẵng"/>
    <s v="Miền Trung"/>
    <x v="1"/>
    <n v="1001560"/>
    <n v="840000"/>
    <n v="161560"/>
    <b v="1"/>
    <b v="1"/>
    <n v="0"/>
    <n v="2"/>
    <b v="1"/>
    <b v="0"/>
    <n v="1001560"/>
    <n v="161560"/>
    <n v="7"/>
    <n v="10"/>
    <n v="0"/>
    <n v="1"/>
    <n v="0"/>
    <n v="161560"/>
  </r>
  <r>
    <d v="2026-02-01T00:00:00"/>
    <s v="SO2602-0011"/>
    <n v="1"/>
    <s v="KH037"/>
    <s v="VT026"/>
    <s v="WH_HN"/>
    <n v="20"/>
    <n v="17"/>
    <n v="146000"/>
    <n v="0.02"/>
    <s v="Completed"/>
    <d v="2026-02-03T00:00:00"/>
    <d v="2026-02-04T00:00:00"/>
    <s v="NV Bình"/>
    <m/>
    <n v="320"/>
    <s v="Khách hàng 037"/>
    <x v="0"/>
    <x v="0"/>
    <s v="Active"/>
    <x v="29"/>
    <s v="CAT02"/>
    <x v="3"/>
    <n v="120000"/>
    <n v="146000"/>
    <s v="Active"/>
    <s v="B"/>
    <s v="Kho Hà Nội"/>
    <s v="Miền Bắc"/>
    <x v="5"/>
    <n v="2432360"/>
    <n v="2040000"/>
    <n v="392360"/>
    <b v="1"/>
    <b v="1"/>
    <n v="0"/>
    <n v="1"/>
    <b v="1"/>
    <b v="0"/>
    <n v="2432360"/>
    <n v="392360"/>
    <n v="17"/>
    <n v="20"/>
    <n v="0"/>
    <n v="1"/>
    <n v="0"/>
    <n v="392360"/>
  </r>
  <r>
    <d v="2026-02-11T00:00:00"/>
    <s v="SO2602-0048"/>
    <n v="2"/>
    <s v="KH040"/>
    <s v="VT017"/>
    <s v="WH_DA"/>
    <n v="8"/>
    <n v="8"/>
    <n v="225000"/>
    <n v="0.08"/>
    <s v="Completed"/>
    <d v="2026-02-16T00:00:00"/>
    <d v="2026-02-19T00:00:00"/>
    <s v="NV An"/>
    <m/>
    <n v="321"/>
    <s v="Khách hàng 040"/>
    <x v="1"/>
    <x v="0"/>
    <s v="Active"/>
    <x v="7"/>
    <s v="CAT05"/>
    <x v="2"/>
    <n v="180000"/>
    <n v="225000"/>
    <s v="Active"/>
    <s v="A"/>
    <s v="Kho Đông Anh"/>
    <s v="Miền Bắc"/>
    <x v="5"/>
    <n v="1656000"/>
    <n v="1440000"/>
    <n v="216000"/>
    <b v="1"/>
    <b v="1"/>
    <n v="0"/>
    <n v="3"/>
    <b v="1"/>
    <b v="0"/>
    <n v="1656000"/>
    <n v="216000"/>
    <n v="8"/>
    <n v="8"/>
    <n v="0"/>
    <n v="1"/>
    <n v="0"/>
    <n v="216000"/>
  </r>
  <r>
    <d v="2026-03-16T00:00:00"/>
    <s v="SO2603-0018"/>
    <n v="3"/>
    <s v="KH007"/>
    <s v="VT013"/>
    <s v="WH_HCM"/>
    <n v="22"/>
    <n v="19"/>
    <n v="614000"/>
    <n v="0"/>
    <s v="Completed"/>
    <d v="2026-03-17T00:00:00"/>
    <d v="2026-03-17T00:00:00"/>
    <s v="NV An"/>
    <m/>
    <n v="322"/>
    <s v="Khách hàng 007"/>
    <x v="2"/>
    <x v="2"/>
    <s v="Active"/>
    <x v="12"/>
    <s v="CAT01"/>
    <x v="5"/>
    <n v="480000"/>
    <n v="614000"/>
    <s v="Active"/>
    <s v="B"/>
    <s v="Kho HCM"/>
    <s v="Miền Nam"/>
    <x v="0"/>
    <n v="11666000"/>
    <n v="9120000"/>
    <n v="2546000"/>
    <b v="1"/>
    <b v="1"/>
    <n v="1"/>
    <n v="0"/>
    <b v="1"/>
    <b v="0"/>
    <n v="11666000"/>
    <n v="2546000"/>
    <n v="19"/>
    <n v="22"/>
    <n v="1"/>
    <n v="1"/>
    <n v="0"/>
    <n v="2546000"/>
  </r>
  <r>
    <d v="2026-02-19T00:00:00"/>
    <s v="SO2602-0082"/>
    <n v="4"/>
    <s v="KH029"/>
    <s v="VT022"/>
    <s v="WH_DN"/>
    <n v="10"/>
    <n v="10"/>
    <n v="234000"/>
    <n v="0.05"/>
    <s v="Completed"/>
    <d v="2026-02-21T00:00:00"/>
    <d v="2026-02-20T00:00:00"/>
    <s v="NV Chi"/>
    <m/>
    <n v="323"/>
    <s v="Khách hàng 029"/>
    <x v="1"/>
    <x v="3"/>
    <s v="Active"/>
    <x v="28"/>
    <s v="CAT04"/>
    <x v="0"/>
    <n v="180000"/>
    <n v="234000"/>
    <s v="Active"/>
    <s v="A"/>
    <s v="Kho Đà Nẵng"/>
    <s v="Miền Trung"/>
    <x v="5"/>
    <n v="2223000"/>
    <n v="1800000"/>
    <n v="423000"/>
    <b v="1"/>
    <b v="1"/>
    <n v="1"/>
    <n v="-1"/>
    <b v="1"/>
    <b v="0"/>
    <n v="2223000"/>
    <n v="423000"/>
    <n v="10"/>
    <n v="10"/>
    <n v="1"/>
    <n v="1"/>
    <n v="0"/>
    <n v="423000"/>
  </r>
  <r>
    <d v="2026-03-05T00:00:00"/>
    <s v="SO2603-0057"/>
    <n v="4"/>
    <s v="KH018"/>
    <s v="VT024"/>
    <s v="WH_DA"/>
    <n v="22"/>
    <n v="0"/>
    <n v="1620000"/>
    <n v="0.05"/>
    <s v="Cancelled"/>
    <d v="2026-03-10T00:00:00"/>
    <m/>
    <s v="NV Chi"/>
    <m/>
    <n v="324"/>
    <s v="Khách hàng 018"/>
    <x v="0"/>
    <x v="2"/>
    <s v="Active"/>
    <x v="26"/>
    <s v="CAT06"/>
    <x v="1"/>
    <n v="1200000"/>
    <n v="1620000"/>
    <s v="Active"/>
    <s v="C"/>
    <s v="Kho Đông Anh"/>
    <s v="Miền Bắc"/>
    <x v="0"/>
    <n v="0"/>
    <m/>
    <n v="0"/>
    <b v="1"/>
    <b v="0"/>
    <m/>
    <m/>
    <b v="0"/>
    <b v="0"/>
    <n v="0"/>
    <n v="0"/>
    <n v="0"/>
    <n v="0"/>
    <n v="0"/>
    <n v="0"/>
    <n v="0"/>
    <n v="0"/>
  </r>
  <r>
    <d v="2026-03-20T00:00:00"/>
    <s v="SO2603-0125"/>
    <n v="1"/>
    <s v="KH012"/>
    <s v="VT006"/>
    <s v="WH_DN"/>
    <n v="9"/>
    <n v="0"/>
    <n v="2430000"/>
    <n v="0"/>
    <s v="Cancelled"/>
    <d v="2026-03-23T00:00:00"/>
    <m/>
    <s v="NV An"/>
    <m/>
    <n v="325"/>
    <s v="Khách hàng 012"/>
    <x v="1"/>
    <x v="0"/>
    <s v="Active"/>
    <x v="1"/>
    <s v="CAT06"/>
    <x v="1"/>
    <n v="1800000"/>
    <n v="2430000"/>
    <s v="Active"/>
    <s v="C"/>
    <s v="Kho Đà Nẵng"/>
    <s v="Miền Trung"/>
    <x v="0"/>
    <n v="0"/>
    <m/>
    <n v="0"/>
    <b v="1"/>
    <b v="0"/>
    <m/>
    <m/>
    <b v="0"/>
    <b v="0"/>
    <n v="0"/>
    <n v="0"/>
    <n v="0"/>
    <n v="0"/>
    <n v="0"/>
    <n v="0"/>
    <n v="0"/>
    <n v="0"/>
  </r>
  <r>
    <d v="2026-01-20T00:00:00"/>
    <s v="SO2601-0005"/>
    <n v="1"/>
    <s v="KH038"/>
    <s v="VT026"/>
    <s v="WH_DA"/>
    <n v="3"/>
    <n v="0"/>
    <n v="146000"/>
    <n v="0.05"/>
    <s v="Completed"/>
    <d v="2026-01-30T00:00:00"/>
    <d v="2026-02-06T00:00:00"/>
    <s v="NV Bình"/>
    <m/>
    <n v="326"/>
    <s v="Khách hàng 038"/>
    <x v="0"/>
    <x v="3"/>
    <s v="Active"/>
    <x v="29"/>
    <s v="CAT02"/>
    <x v="3"/>
    <n v="120000"/>
    <n v="146000"/>
    <s v="Active"/>
    <s v="B"/>
    <s v="Kho Đông Anh"/>
    <s v="Miền Bắc"/>
    <x v="2"/>
    <n v="0"/>
    <n v="0"/>
    <n v="0"/>
    <b v="1"/>
    <b v="1"/>
    <n v="0"/>
    <n v="7"/>
    <b v="1"/>
    <b v="0"/>
    <n v="0"/>
    <n v="0"/>
    <n v="0"/>
    <n v="3"/>
    <n v="0"/>
    <n v="1"/>
    <n v="0"/>
    <n v="0"/>
  </r>
  <r>
    <d v="2026-04-04T00:00:00"/>
    <s v="SO2604-0101"/>
    <n v="2"/>
    <s v="KH038"/>
    <s v="VT019"/>
    <s v="WH_DA"/>
    <n v="30"/>
    <n v="30"/>
    <n v="1152000"/>
    <n v="0.02"/>
    <s v="Completed"/>
    <d v="2026-04-11T00:00:00"/>
    <d v="2026-04-10T00:00:00"/>
    <s v="NV Bình"/>
    <m/>
    <n v="327"/>
    <s v="Khách hàng 038"/>
    <x v="0"/>
    <x v="3"/>
    <s v="Active"/>
    <x v="27"/>
    <s v="CAT01"/>
    <x v="5"/>
    <n v="900000"/>
    <n v="1152000"/>
    <s v="Active"/>
    <s v="C"/>
    <s v="Kho Đông Anh"/>
    <s v="Miền Bắc"/>
    <x v="4"/>
    <n v="33868800"/>
    <n v="27000000"/>
    <n v="6868800"/>
    <b v="1"/>
    <b v="1"/>
    <n v="1"/>
    <n v="-1"/>
    <b v="1"/>
    <b v="0"/>
    <n v="33868800"/>
    <n v="6868800"/>
    <n v="30"/>
    <n v="30"/>
    <n v="1"/>
    <n v="1"/>
    <n v="0"/>
    <n v="6868800"/>
  </r>
  <r>
    <d v="2026-06-07T00:00:00"/>
    <s v="SO2606-0043"/>
    <n v="2"/>
    <s v="KH029"/>
    <s v="VT011"/>
    <s v="WH_DA"/>
    <n v="10"/>
    <n v="7"/>
    <n v="437000"/>
    <n v="0.02"/>
    <s v="Open"/>
    <d v="2026-06-08T00:00:00"/>
    <m/>
    <s v="NV Bình"/>
    <m/>
    <n v="328"/>
    <s v="Khách hàng 029"/>
    <x v="1"/>
    <x v="3"/>
    <s v="Active"/>
    <x v="33"/>
    <s v="CAT05"/>
    <x v="2"/>
    <n v="350000"/>
    <n v="437000"/>
    <s v="Active"/>
    <s v="A"/>
    <s v="Kho Đông Anh"/>
    <s v="Miền Bắc"/>
    <x v="3"/>
    <n v="2997820"/>
    <n v="2450000"/>
    <n v="547820"/>
    <b v="1"/>
    <b v="0"/>
    <m/>
    <m/>
    <b v="1"/>
    <b v="0"/>
    <n v="2997820"/>
    <n v="547820"/>
    <n v="7"/>
    <n v="10"/>
    <n v="0"/>
    <n v="0"/>
    <n v="0"/>
    <n v="547820"/>
  </r>
  <r>
    <d v="2026-05-05T00:00:00"/>
    <s v="SO2605-0060"/>
    <n v="1"/>
    <s v="KH017"/>
    <s v="VT024"/>
    <s v="WH_DA"/>
    <n v="3"/>
    <n v="3"/>
    <n v="1620000"/>
    <n v="0.05"/>
    <s v="Completed"/>
    <d v="2026-05-10T00:00:00"/>
    <d v="2026-05-11T00:00:00"/>
    <s v="NV An"/>
    <m/>
    <n v="329"/>
    <s v="Khách hàng 017"/>
    <x v="2"/>
    <x v="0"/>
    <s v="Active"/>
    <x v="26"/>
    <s v="CAT06"/>
    <x v="1"/>
    <n v="1200000"/>
    <n v="1620000"/>
    <s v="Active"/>
    <s v="C"/>
    <s v="Kho Đông Anh"/>
    <s v="Miền Bắc"/>
    <x v="1"/>
    <n v="4617000"/>
    <n v="3600000"/>
    <n v="1017000"/>
    <b v="1"/>
    <b v="1"/>
    <n v="0"/>
    <n v="1"/>
    <b v="1"/>
    <b v="0"/>
    <n v="4617000"/>
    <n v="1017000"/>
    <n v="3"/>
    <n v="3"/>
    <n v="0"/>
    <n v="1"/>
    <n v="0"/>
    <n v="1017000"/>
  </r>
  <r>
    <d v="2026-01-11T00:00:00"/>
    <s v="SO2601-0083"/>
    <n v="1"/>
    <s v="KH034"/>
    <s v="VT018"/>
    <s v="WH_DN"/>
    <n v="35"/>
    <n v="33"/>
    <n v="648000"/>
    <n v="0.05"/>
    <s v="Completed"/>
    <d v="2026-01-14T00:00:00"/>
    <d v="2026-01-16T00:00:00"/>
    <s v="NV An"/>
    <m/>
    <n v="330"/>
    <s v="Khách hàng 034"/>
    <x v="1"/>
    <x v="0"/>
    <s v="Active"/>
    <x v="6"/>
    <s v="CAT06"/>
    <x v="1"/>
    <n v="480000"/>
    <n v="648000"/>
    <s v="Active"/>
    <s v="A"/>
    <s v="Kho Đà Nẵng"/>
    <s v="Miền Trung"/>
    <x v="2"/>
    <n v="20314800"/>
    <n v="15840000"/>
    <n v="4474800"/>
    <b v="1"/>
    <b v="1"/>
    <n v="0"/>
    <n v="2"/>
    <b v="1"/>
    <b v="0"/>
    <n v="20314800"/>
    <n v="4474800"/>
    <n v="33"/>
    <n v="35"/>
    <n v="0"/>
    <n v="1"/>
    <n v="0"/>
    <n v="4474800"/>
  </r>
  <r>
    <d v="2026-05-13T00:00:00"/>
    <s v="SO2605-0065"/>
    <n v="4"/>
    <s v="KH015"/>
    <s v="VT034"/>
    <s v="WH_HCM"/>
    <n v="23"/>
    <n v="11"/>
    <n v="234000"/>
    <n v="0.05"/>
    <s v="Open"/>
    <d v="2026-05-18T00:00:00"/>
    <m/>
    <s v="NV An"/>
    <m/>
    <n v="331"/>
    <s v="Khách hàng 015"/>
    <x v="2"/>
    <x v="1"/>
    <s v="Active"/>
    <x v="22"/>
    <s v="CAT04"/>
    <x v="0"/>
    <n v="180000"/>
    <n v="234000"/>
    <s v="Active"/>
    <s v="A"/>
    <s v="Kho HCM"/>
    <s v="Miền Nam"/>
    <x v="1"/>
    <n v="2445300"/>
    <n v="1980000"/>
    <n v="465300"/>
    <b v="1"/>
    <b v="0"/>
    <m/>
    <m/>
    <b v="1"/>
    <b v="0"/>
    <n v="2445300"/>
    <n v="465300"/>
    <n v="11"/>
    <n v="23"/>
    <n v="0"/>
    <n v="0"/>
    <n v="0"/>
    <n v="465300"/>
  </r>
  <r>
    <d v="2026-05-09T00:00:00"/>
    <s v="SO2605-0036"/>
    <n v="4"/>
    <s v="KH011"/>
    <s v="VT015"/>
    <s v="WH_HN"/>
    <n v="33"/>
    <n v="33"/>
    <n v="2124000"/>
    <n v="0"/>
    <s v="Completed"/>
    <d v="2026-05-11T00:00:00"/>
    <d v="2026-05-11T00:00:00"/>
    <s v="NV An"/>
    <m/>
    <n v="332"/>
    <s v="Khách hàng 011"/>
    <x v="0"/>
    <x v="2"/>
    <s v="Active"/>
    <x v="20"/>
    <s v="CAT03"/>
    <x v="4"/>
    <n v="1800000"/>
    <n v="2124000"/>
    <s v="Active"/>
    <s v="C"/>
    <s v="Kho Hà Nội"/>
    <s v="Miền Bắc"/>
    <x v="1"/>
    <n v="70092000"/>
    <n v="59400000"/>
    <n v="10692000"/>
    <b v="1"/>
    <b v="1"/>
    <n v="1"/>
    <n v="0"/>
    <b v="1"/>
    <b v="0"/>
    <n v="70092000"/>
    <n v="10692000"/>
    <n v="33"/>
    <n v="33"/>
    <n v="1"/>
    <n v="1"/>
    <n v="0"/>
    <n v="10692000"/>
  </r>
  <r>
    <d v="2026-06-19T00:00:00"/>
    <s v="SO2606-0059"/>
    <n v="4"/>
    <s v="KH022"/>
    <s v="VT008"/>
    <s v="WH_HCM"/>
    <n v="31"/>
    <n v="31"/>
    <n v="2196000"/>
    <n v="0.1"/>
    <s v="Completed"/>
    <d v="2026-06-24T00:00:00"/>
    <d v="2026-06-23T00:00:00"/>
    <s v="NV Bình"/>
    <m/>
    <n v="333"/>
    <s v="Khách hàng 022"/>
    <x v="2"/>
    <x v="0"/>
    <s v="Active"/>
    <x v="24"/>
    <s v="CAT02"/>
    <x v="3"/>
    <n v="1800000"/>
    <n v="2196000"/>
    <s v="Active"/>
    <s v="B"/>
    <s v="Kho HCM"/>
    <s v="Miền Nam"/>
    <x v="3"/>
    <n v="61268400"/>
    <n v="55800000"/>
    <n v="5468400"/>
    <b v="1"/>
    <b v="1"/>
    <n v="1"/>
    <n v="-1"/>
    <b v="1"/>
    <b v="0"/>
    <n v="61268400"/>
    <n v="5468400"/>
    <n v="31"/>
    <n v="31"/>
    <n v="1"/>
    <n v="1"/>
    <n v="0"/>
    <n v="5468400"/>
  </r>
  <r>
    <d v="2026-01-12T00:00:00"/>
    <s v="SO2601-0033"/>
    <n v="2"/>
    <s v="KH009"/>
    <s v="VT033"/>
    <s v="WH_HN"/>
    <n v="10"/>
    <n v="10"/>
    <n v="413000"/>
    <n v="0.08"/>
    <s v="Completed"/>
    <d v="2026-01-17T00:00:00"/>
    <d v="2026-01-19T00:00:00"/>
    <s v="NV An"/>
    <m/>
    <n v="334"/>
    <s v="Khách hàng 009"/>
    <x v="2"/>
    <x v="3"/>
    <s v="Inactive"/>
    <x v="11"/>
    <s v="CAT03"/>
    <x v="4"/>
    <n v="350000"/>
    <n v="413000"/>
    <s v="Active"/>
    <s v="B"/>
    <s v="Kho Hà Nội"/>
    <s v="Miền Bắc"/>
    <x v="2"/>
    <n v="3799600"/>
    <n v="3500000"/>
    <n v="299600"/>
    <b v="1"/>
    <b v="1"/>
    <n v="0"/>
    <n v="2"/>
    <b v="1"/>
    <b v="0"/>
    <n v="3799600"/>
    <n v="299600"/>
    <n v="10"/>
    <n v="10"/>
    <n v="0"/>
    <n v="1"/>
    <n v="0"/>
    <n v="299600"/>
  </r>
  <r>
    <d v="2026-06-19T00:00:00"/>
    <s v="SO2606-0073"/>
    <n v="1"/>
    <s v="KH014"/>
    <s v="VT029"/>
    <s v="WH_HCM"/>
    <n v="31"/>
    <n v="29"/>
    <n v="1125000"/>
    <n v="0"/>
    <s v="Completed"/>
    <d v="2026-06-26T00:00:00"/>
    <d v="2026-07-03T00:00:00"/>
    <s v="NV Bình"/>
    <m/>
    <n v="335"/>
    <s v="Khách hàng 014"/>
    <x v="2"/>
    <x v="0"/>
    <s v="Active"/>
    <x v="15"/>
    <s v="CAT05"/>
    <x v="2"/>
    <n v="900000"/>
    <n v="1125000"/>
    <s v="Active"/>
    <s v="A"/>
    <s v="Kho HCM"/>
    <s v="Miền Nam"/>
    <x v="3"/>
    <n v="32625000"/>
    <n v="26100000"/>
    <n v="6525000"/>
    <b v="1"/>
    <b v="1"/>
    <n v="0"/>
    <n v="7"/>
    <b v="1"/>
    <b v="0"/>
    <n v="32625000"/>
    <n v="6525000"/>
    <n v="29"/>
    <n v="31"/>
    <n v="0"/>
    <n v="1"/>
    <n v="0"/>
    <n v="6525000"/>
  </r>
  <r>
    <d v="2026-06-09T00:00:00"/>
    <s v="SO2606-0131"/>
    <n v="3"/>
    <s v="KH011"/>
    <s v="VT022"/>
    <s v="WH_HCM"/>
    <n v="5"/>
    <n v="5"/>
    <n v="234000"/>
    <n v="0"/>
    <s v="Completed"/>
    <d v="2026-06-10T00:00:00"/>
    <d v="2026-06-10T00:00:00"/>
    <s v="NV Dũng"/>
    <m/>
    <n v="336"/>
    <s v="Khách hàng 011"/>
    <x v="0"/>
    <x v="2"/>
    <s v="Active"/>
    <x v="28"/>
    <s v="CAT04"/>
    <x v="0"/>
    <n v="180000"/>
    <n v="234000"/>
    <s v="Active"/>
    <s v="A"/>
    <s v="Kho HCM"/>
    <s v="Miền Nam"/>
    <x v="3"/>
    <n v="1170000"/>
    <n v="900000"/>
    <n v="270000"/>
    <b v="1"/>
    <b v="1"/>
    <n v="1"/>
    <n v="0"/>
    <b v="1"/>
    <b v="0"/>
    <n v="1170000"/>
    <n v="270000"/>
    <n v="5"/>
    <n v="5"/>
    <n v="1"/>
    <n v="1"/>
    <n v="0"/>
    <n v="270000"/>
  </r>
  <r>
    <d v="2026-02-08T00:00:00"/>
    <s v="SO2602-0025"/>
    <n v="2"/>
    <s v="KH031"/>
    <s v="VT003"/>
    <s v="WH_HN"/>
    <n v="6"/>
    <n v="5"/>
    <n v="212000"/>
    <n v="0.08"/>
    <s v="Completed"/>
    <d v="2026-02-09T00:00:00"/>
    <d v="2026-02-16T00:00:00"/>
    <s v="NV Dũng"/>
    <m/>
    <n v="337"/>
    <s v="Khách hàng 031"/>
    <x v="0"/>
    <x v="1"/>
    <s v="Inactive"/>
    <x v="5"/>
    <s v="CAT03"/>
    <x v="4"/>
    <n v="180000"/>
    <n v="212000"/>
    <s v="Active"/>
    <s v="C"/>
    <s v="Kho Hà Nội"/>
    <s v="Miền Bắc"/>
    <x v="5"/>
    <n v="975200"/>
    <n v="900000"/>
    <n v="75200"/>
    <b v="1"/>
    <b v="1"/>
    <n v="0"/>
    <n v="7"/>
    <b v="1"/>
    <b v="0"/>
    <n v="975200"/>
    <n v="75200"/>
    <n v="5"/>
    <n v="6"/>
    <n v="0"/>
    <n v="1"/>
    <n v="0"/>
    <n v="75200"/>
  </r>
  <r>
    <d v="2026-05-14T00:00:00"/>
    <s v="SO2605-0108"/>
    <n v="3"/>
    <s v="KH003"/>
    <s v="VT034"/>
    <s v="WH_HCM"/>
    <n v="15"/>
    <n v="0"/>
    <n v="234000"/>
    <n v="0.05"/>
    <s v="Cancelled"/>
    <d v="2026-05-19T00:00:00"/>
    <m/>
    <s v="NV Chi"/>
    <m/>
    <n v="338"/>
    <s v="Khách hàng 003"/>
    <x v="2"/>
    <x v="2"/>
    <s v="Active"/>
    <x v="22"/>
    <s v="CAT04"/>
    <x v="0"/>
    <n v="180000"/>
    <n v="234000"/>
    <s v="Active"/>
    <s v="A"/>
    <s v="Kho HCM"/>
    <s v="Miền Nam"/>
    <x v="1"/>
    <n v="0"/>
    <m/>
    <n v="0"/>
    <b v="1"/>
    <b v="0"/>
    <m/>
    <m/>
    <b v="0"/>
    <b v="0"/>
    <n v="0"/>
    <n v="0"/>
    <n v="0"/>
    <n v="0"/>
    <n v="0"/>
    <n v="0"/>
    <n v="0"/>
    <n v="0"/>
  </r>
  <r>
    <d v="2026-05-31T00:00:00"/>
    <s v="SO2605-0026"/>
    <n v="4"/>
    <s v="KH009"/>
    <s v="VT017"/>
    <s v="WH_HCM"/>
    <n v="15"/>
    <n v="0"/>
    <n v="225000"/>
    <n v="0"/>
    <s v="Cancelled"/>
    <d v="2026-06-03T00:00:00"/>
    <m/>
    <s v="NV Dũng"/>
    <m/>
    <n v="339"/>
    <s v="Khách hàng 009"/>
    <x v="2"/>
    <x v="3"/>
    <s v="Inactive"/>
    <x v="7"/>
    <s v="CAT05"/>
    <x v="2"/>
    <n v="180000"/>
    <n v="225000"/>
    <s v="Active"/>
    <s v="A"/>
    <s v="Kho HCM"/>
    <s v="Miền Nam"/>
    <x v="1"/>
    <n v="0"/>
    <m/>
    <n v="0"/>
    <b v="1"/>
    <b v="0"/>
    <m/>
    <m/>
    <b v="0"/>
    <b v="0"/>
    <n v="0"/>
    <n v="0"/>
    <n v="0"/>
    <n v="0"/>
    <n v="0"/>
    <n v="0"/>
    <n v="0"/>
    <n v="0"/>
  </r>
  <r>
    <d v="2026-03-07T00:00:00"/>
    <s v="SO2603-0049"/>
    <n v="1"/>
    <s v="KH001"/>
    <s v="VT034"/>
    <s v="WH_HN"/>
    <n v="34"/>
    <n v="34"/>
    <n v="234000"/>
    <n v="0.1"/>
    <s v="Completed"/>
    <d v="2026-03-10T00:00:00"/>
    <d v="2026-03-11T00:00:00"/>
    <s v="NV Chi"/>
    <m/>
    <n v="340"/>
    <s v="Khách hàng 001"/>
    <x v="0"/>
    <x v="2"/>
    <s v="Active"/>
    <x v="22"/>
    <s v="CAT04"/>
    <x v="0"/>
    <n v="180000"/>
    <n v="234000"/>
    <s v="Active"/>
    <s v="A"/>
    <s v="Kho Hà Nội"/>
    <s v="Miền Bắc"/>
    <x v="0"/>
    <n v="7160400"/>
    <n v="6120000"/>
    <n v="1040400"/>
    <b v="1"/>
    <b v="1"/>
    <n v="0"/>
    <n v="1"/>
    <b v="1"/>
    <b v="0"/>
    <n v="7160400"/>
    <n v="1040400"/>
    <n v="34"/>
    <n v="34"/>
    <n v="0"/>
    <n v="1"/>
    <n v="0"/>
    <n v="1040400"/>
  </r>
  <r>
    <d v="2026-01-28T00:00:00"/>
    <s v="SO2601-0040"/>
    <n v="4"/>
    <s v="KH038"/>
    <s v="VT017"/>
    <s v="WH_DN"/>
    <n v="35"/>
    <n v="33"/>
    <n v="225000"/>
    <n v="0.02"/>
    <s v="Completed"/>
    <d v="2026-02-07T00:00:00"/>
    <d v="2026-02-08T00:00:00"/>
    <s v="NV Bình"/>
    <m/>
    <n v="341"/>
    <s v="Khách hàng 038"/>
    <x v="0"/>
    <x v="3"/>
    <s v="Active"/>
    <x v="7"/>
    <s v="CAT05"/>
    <x v="2"/>
    <n v="180000"/>
    <n v="225000"/>
    <s v="Active"/>
    <s v="A"/>
    <s v="Kho Đà Nẵng"/>
    <s v="Miền Trung"/>
    <x v="2"/>
    <n v="7276500"/>
    <n v="5940000"/>
    <n v="1336500"/>
    <b v="1"/>
    <b v="1"/>
    <n v="0"/>
    <n v="1"/>
    <b v="1"/>
    <b v="0"/>
    <n v="7276500"/>
    <n v="1336500"/>
    <n v="33"/>
    <n v="35"/>
    <n v="0"/>
    <n v="1"/>
    <n v="0"/>
    <n v="1336500"/>
  </r>
  <r>
    <d v="2026-04-16T00:00:00"/>
    <s v="SO2604-0142"/>
    <n v="4"/>
    <s v="KH012"/>
    <s v="VT024"/>
    <s v="WH_HCM"/>
    <n v="-10"/>
    <n v="-10"/>
    <n v="1620000"/>
    <n v="0.02"/>
    <s v="Return"/>
    <d v="2026-04-26T00:00:00"/>
    <d v="2026-04-27T00:00:00"/>
    <s v="NV Bình"/>
    <m/>
    <n v="342"/>
    <s v="Khách hàng 012"/>
    <x v="1"/>
    <x v="0"/>
    <s v="Active"/>
    <x v="26"/>
    <s v="CAT06"/>
    <x v="1"/>
    <n v="1200000"/>
    <n v="1620000"/>
    <s v="Active"/>
    <s v="C"/>
    <s v="Kho HCM"/>
    <s v="Miền Nam"/>
    <x v="4"/>
    <n v="-15876000"/>
    <n v="-12000000"/>
    <n v="-3876000"/>
    <b v="1"/>
    <b v="1"/>
    <n v="0"/>
    <n v="1"/>
    <b v="0"/>
    <b v="1"/>
    <n v="-15876000"/>
    <n v="-3876000"/>
    <n v="0"/>
    <n v="0"/>
    <n v="0"/>
    <n v="1"/>
    <n v="-15876000"/>
    <n v="-3876000"/>
  </r>
  <r>
    <d v="2026-06-18T00:00:00"/>
    <s v="SO2606-0031"/>
    <n v="2"/>
    <s v="KH029"/>
    <s v="VT011"/>
    <s v="WH_HN"/>
    <n v="14"/>
    <n v="12"/>
    <n v="437000"/>
    <n v="0.08"/>
    <s v="Completed"/>
    <d v="2026-06-28T00:00:00"/>
    <d v="2026-07-01T00:00:00"/>
    <s v="NV An"/>
    <m/>
    <n v="343"/>
    <s v="Khách hàng 029"/>
    <x v="1"/>
    <x v="3"/>
    <s v="Active"/>
    <x v="33"/>
    <s v="CAT05"/>
    <x v="2"/>
    <n v="350000"/>
    <n v="437000"/>
    <s v="Active"/>
    <s v="A"/>
    <s v="Kho Hà Nội"/>
    <s v="Miền Bắc"/>
    <x v="3"/>
    <n v="4824480"/>
    <n v="4200000"/>
    <n v="624480"/>
    <b v="1"/>
    <b v="1"/>
    <n v="0"/>
    <n v="3"/>
    <b v="1"/>
    <b v="0"/>
    <n v="4824480"/>
    <n v="624480"/>
    <n v="12"/>
    <n v="14"/>
    <n v="0"/>
    <n v="1"/>
    <n v="0"/>
    <n v="624480"/>
  </r>
  <r>
    <d v="2026-02-11T00:00:00"/>
    <s v="SO2602-0100"/>
    <n v="1"/>
    <s v="KH006"/>
    <s v="VT010"/>
    <s v="WH_HCM"/>
    <n v="28"/>
    <n v="28"/>
    <n v="1170000"/>
    <n v="0.02"/>
    <s v="Completed"/>
    <d v="2026-02-12T00:00:00"/>
    <d v="2026-02-14T00:00:00"/>
    <s v="NV An"/>
    <m/>
    <n v="344"/>
    <s v="Khách hàng 006"/>
    <x v="2"/>
    <x v="0"/>
    <s v="Active"/>
    <x v="0"/>
    <s v="CAT04"/>
    <x v="0"/>
    <n v="900000"/>
    <n v="1170000"/>
    <s v="Active"/>
    <s v="A"/>
    <s v="Kho HCM"/>
    <s v="Miền Nam"/>
    <x v="5"/>
    <n v="32104800"/>
    <n v="25200000"/>
    <n v="6904800"/>
    <b v="1"/>
    <b v="1"/>
    <n v="0"/>
    <n v="2"/>
    <b v="1"/>
    <b v="0"/>
    <n v="32104800"/>
    <n v="6904800"/>
    <n v="28"/>
    <n v="28"/>
    <n v="0"/>
    <n v="1"/>
    <n v="0"/>
    <n v="6904800"/>
  </r>
  <r>
    <d v="2026-04-09T00:00:00"/>
    <s v="SO2604-0103"/>
    <n v="3"/>
    <s v="KH039"/>
    <s v="VT004"/>
    <s v="WH_DA"/>
    <n v="32"/>
    <n v="31"/>
    <n v="234000"/>
    <n v="0.08"/>
    <s v="Completed"/>
    <d v="2026-04-12T00:00:00"/>
    <d v="2026-04-12T00:00:00"/>
    <s v="NV An"/>
    <m/>
    <n v="345"/>
    <s v="Khách hàng 039"/>
    <x v="2"/>
    <x v="3"/>
    <s v="Active"/>
    <x v="23"/>
    <s v="CAT04"/>
    <x v="0"/>
    <n v="180000"/>
    <n v="234000"/>
    <s v="Active"/>
    <s v="A"/>
    <s v="Kho Đông Anh"/>
    <s v="Miền Bắc"/>
    <x v="4"/>
    <n v="6673680"/>
    <n v="5580000"/>
    <n v="1093680"/>
    <b v="1"/>
    <b v="1"/>
    <n v="1"/>
    <n v="0"/>
    <b v="1"/>
    <b v="0"/>
    <n v="6673680"/>
    <n v="1093680"/>
    <n v="31"/>
    <n v="32"/>
    <n v="1"/>
    <n v="1"/>
    <n v="0"/>
    <n v="1093680"/>
  </r>
  <r>
    <d v="2026-06-03T00:00:00"/>
    <s v="SO2606-0131"/>
    <n v="2"/>
    <s v="KH040"/>
    <s v="VT011"/>
    <s v="WH_HN"/>
    <n v="24"/>
    <n v="24"/>
    <n v="437000"/>
    <n v="0"/>
    <s v="Completed"/>
    <d v="2026-06-06T00:00:00"/>
    <d v="2026-06-13T00:00:00"/>
    <s v="NV Dũng"/>
    <m/>
    <n v="346"/>
    <s v="Khách hàng 040"/>
    <x v="1"/>
    <x v="0"/>
    <s v="Active"/>
    <x v="33"/>
    <s v="CAT05"/>
    <x v="2"/>
    <n v="350000"/>
    <n v="437000"/>
    <s v="Active"/>
    <s v="A"/>
    <s v="Kho Hà Nội"/>
    <s v="Miền Bắc"/>
    <x v="3"/>
    <n v="10488000"/>
    <n v="8400000"/>
    <n v="2088000"/>
    <b v="1"/>
    <b v="1"/>
    <n v="0"/>
    <n v="7"/>
    <b v="1"/>
    <b v="0"/>
    <n v="10488000"/>
    <n v="2088000"/>
    <n v="24"/>
    <n v="24"/>
    <n v="0"/>
    <n v="1"/>
    <n v="0"/>
    <n v="2088000"/>
  </r>
  <r>
    <d v="2026-04-01T00:00:00"/>
    <s v="SO2604-0102"/>
    <n v="4"/>
    <s v="KH038"/>
    <s v="VT013"/>
    <s v="WH_HN"/>
    <n v="5"/>
    <n v="0"/>
    <n v="614000"/>
    <n v="0.08"/>
    <s v="Cancelled"/>
    <d v="2026-04-04T00:00:00"/>
    <m/>
    <s v="NV Chi"/>
    <m/>
    <n v="347"/>
    <s v="Khách hàng 038"/>
    <x v="0"/>
    <x v="3"/>
    <s v="Active"/>
    <x v="12"/>
    <s v="CAT01"/>
    <x v="5"/>
    <n v="480000"/>
    <n v="614000"/>
    <s v="Active"/>
    <s v="B"/>
    <s v="Kho Hà Nội"/>
    <s v="Miền Bắc"/>
    <x v="4"/>
    <n v="0"/>
    <m/>
    <n v="0"/>
    <b v="1"/>
    <b v="0"/>
    <m/>
    <m/>
    <b v="0"/>
    <b v="0"/>
    <n v="0"/>
    <n v="0"/>
    <n v="0"/>
    <n v="0"/>
    <n v="0"/>
    <n v="0"/>
    <n v="0"/>
    <n v="0"/>
  </r>
  <r>
    <d v="2026-03-30T00:00:00"/>
    <s v="SO2603-0071"/>
    <n v="2"/>
    <s v="KH039"/>
    <s v="VT013"/>
    <s v="WH_HCM"/>
    <n v="26"/>
    <n v="26"/>
    <n v="614000"/>
    <n v="0.05"/>
    <s v="Completed"/>
    <d v="2026-04-06T00:00:00"/>
    <d v="2026-04-05T00:00:00"/>
    <s v="NV An"/>
    <m/>
    <n v="348"/>
    <s v="Khách hàng 039"/>
    <x v="2"/>
    <x v="3"/>
    <s v="Active"/>
    <x v="12"/>
    <s v="CAT01"/>
    <x v="5"/>
    <n v="480000"/>
    <n v="614000"/>
    <s v="Active"/>
    <s v="B"/>
    <s v="Kho HCM"/>
    <s v="Miền Nam"/>
    <x v="0"/>
    <n v="15165800"/>
    <n v="12480000"/>
    <n v="2685800"/>
    <b v="1"/>
    <b v="1"/>
    <n v="1"/>
    <n v="-1"/>
    <b v="1"/>
    <b v="0"/>
    <n v="15165800"/>
    <n v="2685800"/>
    <n v="26"/>
    <n v="26"/>
    <n v="1"/>
    <n v="1"/>
    <n v="0"/>
    <n v="2685800"/>
  </r>
  <r>
    <d v="2026-05-09T00:00:00"/>
    <s v="SO2605-0076"/>
    <n v="3"/>
    <s v="KH008"/>
    <s v="VT033"/>
    <s v="WH_DN"/>
    <n v="35"/>
    <n v="16"/>
    <n v="413000"/>
    <n v="0.1"/>
    <s v="Open"/>
    <d v="2026-05-14T00:00:00"/>
    <m/>
    <s v="NV Dũng"/>
    <m/>
    <n v="349"/>
    <s v="Khách hàng 008"/>
    <x v="1"/>
    <x v="2"/>
    <s v="Active"/>
    <x v="11"/>
    <s v="CAT03"/>
    <x v="4"/>
    <n v="350000"/>
    <n v="413000"/>
    <s v="Active"/>
    <s v="B"/>
    <s v="Kho Đà Nẵng"/>
    <s v="Miền Trung"/>
    <x v="1"/>
    <n v="5947200"/>
    <n v="5600000"/>
    <n v="347200"/>
    <b v="1"/>
    <b v="0"/>
    <m/>
    <m/>
    <b v="1"/>
    <b v="0"/>
    <n v="5947200"/>
    <n v="347200"/>
    <n v="16"/>
    <n v="35"/>
    <n v="0"/>
    <n v="0"/>
    <n v="0"/>
    <n v="347200"/>
  </r>
  <r>
    <d v="2026-05-25T00:00:00"/>
    <s v="SO2605-0124"/>
    <n v="2"/>
    <s v="KH022"/>
    <s v="VT030"/>
    <s v="WH_HCM"/>
    <n v="2"/>
    <n v="2"/>
    <n v="648000"/>
    <n v="0.05"/>
    <s v="Completed"/>
    <d v="2026-06-04T00:00:00"/>
    <d v="2026-06-11T00:00:00"/>
    <s v="NV Bình"/>
    <m/>
    <n v="350"/>
    <s v="Khách hàng 022"/>
    <x v="2"/>
    <x v="0"/>
    <s v="Active"/>
    <x v="21"/>
    <s v="CAT06"/>
    <x v="1"/>
    <n v="480000"/>
    <n v="648000"/>
    <s v="Active"/>
    <s v="C"/>
    <s v="Kho HCM"/>
    <s v="Miền Nam"/>
    <x v="1"/>
    <n v="1231200"/>
    <n v="960000"/>
    <n v="271200"/>
    <b v="1"/>
    <b v="1"/>
    <n v="0"/>
    <n v="7"/>
    <b v="1"/>
    <b v="0"/>
    <n v="1231200"/>
    <n v="271200"/>
    <n v="2"/>
    <n v="2"/>
    <n v="0"/>
    <n v="1"/>
    <n v="0"/>
    <n v="271200"/>
  </r>
  <r>
    <d v="2026-06-23T00:00:00"/>
    <s v="SO2606-0059"/>
    <n v="3"/>
    <s v="KH027"/>
    <s v="VT023"/>
    <s v="WH_HN"/>
    <n v="17"/>
    <n v="17"/>
    <n v="2250000"/>
    <n v="0.1"/>
    <s v="Completed"/>
    <d v="2026-07-03T00:00:00"/>
    <d v="2026-07-10T00:00:00"/>
    <s v="NV Chi"/>
    <m/>
    <n v="351"/>
    <s v="Khách hàng 027"/>
    <x v="2"/>
    <x v="0"/>
    <s v="Active"/>
    <x v="3"/>
    <s v="CAT05"/>
    <x v="2"/>
    <n v="1800000"/>
    <n v="2250000"/>
    <s v="Active"/>
    <s v="A"/>
    <s v="Kho Hà Nội"/>
    <s v="Miền Bắc"/>
    <x v="3"/>
    <n v="34425000"/>
    <n v="30600000"/>
    <n v="3825000"/>
    <b v="1"/>
    <b v="1"/>
    <n v="0"/>
    <n v="7"/>
    <b v="1"/>
    <b v="0"/>
    <n v="34425000"/>
    <n v="3825000"/>
    <n v="17"/>
    <n v="17"/>
    <n v="0"/>
    <n v="1"/>
    <n v="0"/>
    <n v="3825000"/>
  </r>
  <r>
    <d v="2026-01-20T00:00:00"/>
    <s v="SO2601-0142"/>
    <n v="2"/>
    <s v="KH031"/>
    <s v="VT021"/>
    <s v="WH_DN"/>
    <n v="14"/>
    <n v="0"/>
    <n v="413000"/>
    <n v="0.02"/>
    <s v="Cancelled"/>
    <d v="2026-01-22T00:00:00"/>
    <m/>
    <s v="NV Bình"/>
    <m/>
    <n v="352"/>
    <s v="Khách hàng 031"/>
    <x v="0"/>
    <x v="1"/>
    <s v="Inactive"/>
    <x v="9"/>
    <s v="CAT03"/>
    <x v="4"/>
    <n v="350000"/>
    <n v="413000"/>
    <s v="Discontinued"/>
    <s v="C"/>
    <s v="Kho Đà Nẵng"/>
    <s v="Miền Trung"/>
    <x v="2"/>
    <n v="0"/>
    <m/>
    <n v="0"/>
    <b v="1"/>
    <b v="0"/>
    <m/>
    <m/>
    <b v="0"/>
    <b v="0"/>
    <n v="0"/>
    <n v="0"/>
    <n v="0"/>
    <n v="0"/>
    <n v="0"/>
    <n v="0"/>
    <n v="0"/>
    <n v="0"/>
  </r>
  <r>
    <d v="2026-05-08T00:00:00"/>
    <s v="SO2605-0052"/>
    <n v="2"/>
    <s v="KH016"/>
    <s v="VT017"/>
    <s v="WH_DA"/>
    <n v="15"/>
    <n v="14"/>
    <n v="225000"/>
    <n v="0.02"/>
    <s v="Completed"/>
    <d v="2026-05-10T00:00:00"/>
    <d v="2026-05-17T00:00:00"/>
    <s v="NV An"/>
    <m/>
    <n v="353"/>
    <s v="Khách hàng 016"/>
    <x v="0"/>
    <x v="1"/>
    <s v="Active"/>
    <x v="7"/>
    <s v="CAT05"/>
    <x v="2"/>
    <n v="180000"/>
    <n v="225000"/>
    <s v="Active"/>
    <s v="A"/>
    <s v="Kho Đông Anh"/>
    <s v="Miền Bắc"/>
    <x v="1"/>
    <n v="3087000"/>
    <n v="2520000"/>
    <n v="567000"/>
    <b v="1"/>
    <b v="1"/>
    <n v="0"/>
    <n v="7"/>
    <b v="1"/>
    <b v="0"/>
    <n v="3087000"/>
    <n v="567000"/>
    <n v="14"/>
    <n v="15"/>
    <n v="0"/>
    <n v="1"/>
    <n v="0"/>
    <n v="567000"/>
  </r>
  <r>
    <d v="2026-01-31T00:00:00"/>
    <s v="SO2601-0021"/>
    <n v="4"/>
    <s v="KH040"/>
    <s v="VT001"/>
    <s v="WH_HN"/>
    <n v="31"/>
    <n v="31"/>
    <n v="230000"/>
    <n v="0.08"/>
    <s v="Completed"/>
    <d v="2026-02-03T00:00:00"/>
    <d v="2026-02-04T00:00:00"/>
    <s v="NV Bình"/>
    <m/>
    <n v="354"/>
    <s v="Khách hàng 040"/>
    <x v="1"/>
    <x v="0"/>
    <s v="Active"/>
    <x v="31"/>
    <s v="CAT01"/>
    <x v="5"/>
    <n v="180000"/>
    <n v="230000"/>
    <s v="Active"/>
    <s v="B"/>
    <s v="Kho Hà Nội"/>
    <s v="Miền Bắc"/>
    <x v="2"/>
    <n v="6559600"/>
    <n v="5580000"/>
    <n v="979600"/>
    <b v="1"/>
    <b v="1"/>
    <n v="0"/>
    <n v="1"/>
    <b v="1"/>
    <b v="0"/>
    <n v="6559600"/>
    <n v="979600"/>
    <n v="31"/>
    <n v="31"/>
    <n v="0"/>
    <n v="1"/>
    <n v="0"/>
    <n v="979600"/>
  </r>
  <r>
    <d v="2026-05-11T00:00:00"/>
    <s v="SO2605-0072"/>
    <n v="4"/>
    <s v="KH015"/>
    <s v="VT009"/>
    <s v="WH_HN"/>
    <n v="34"/>
    <n v="30"/>
    <n v="566000"/>
    <n v="0.08"/>
    <s v="Open"/>
    <d v="2026-05-12T00:00:00"/>
    <m/>
    <s v="NV Chi"/>
    <m/>
    <n v="355"/>
    <s v="Khách hàng 015"/>
    <x v="2"/>
    <x v="1"/>
    <s v="Active"/>
    <x v="35"/>
    <s v="CAT03"/>
    <x v="4"/>
    <n v="480000"/>
    <n v="566000"/>
    <s v="Active"/>
    <s v="A"/>
    <s v="Kho Hà Nội"/>
    <s v="Miền Bắc"/>
    <x v="1"/>
    <n v="15621600"/>
    <n v="14400000"/>
    <n v="1221600"/>
    <b v="1"/>
    <b v="0"/>
    <m/>
    <m/>
    <b v="1"/>
    <b v="0"/>
    <n v="15621600"/>
    <n v="1221600"/>
    <n v="30"/>
    <n v="34"/>
    <n v="0"/>
    <n v="0"/>
    <n v="0"/>
    <n v="1221600"/>
  </r>
  <r>
    <d v="2026-04-11T00:00:00"/>
    <s v="SO2604-0045"/>
    <n v="4"/>
    <s v="KH008"/>
    <s v="VT034"/>
    <s v="WH_HCM"/>
    <n v="21"/>
    <n v="20"/>
    <n v="234000"/>
    <n v="0"/>
    <s v="Completed"/>
    <d v="2026-04-16T00:00:00"/>
    <d v="2026-04-18T00:00:00"/>
    <s v="NV An"/>
    <m/>
    <n v="356"/>
    <s v="Khách hàng 008"/>
    <x v="1"/>
    <x v="2"/>
    <s v="Active"/>
    <x v="22"/>
    <s v="CAT04"/>
    <x v="0"/>
    <n v="180000"/>
    <n v="234000"/>
    <s v="Active"/>
    <s v="A"/>
    <s v="Kho HCM"/>
    <s v="Miền Nam"/>
    <x v="4"/>
    <n v="4680000"/>
    <n v="3600000"/>
    <n v="1080000"/>
    <b v="1"/>
    <b v="1"/>
    <n v="0"/>
    <n v="2"/>
    <b v="1"/>
    <b v="0"/>
    <n v="4680000"/>
    <n v="1080000"/>
    <n v="20"/>
    <n v="21"/>
    <n v="0"/>
    <n v="1"/>
    <n v="0"/>
    <n v="1080000"/>
  </r>
  <r>
    <d v="2026-03-25T00:00:00"/>
    <s v="SO2603-0093"/>
    <n v="3"/>
    <s v="KH012"/>
    <s v="VT036"/>
    <s v="WH_DN"/>
    <n v="16"/>
    <n v="16"/>
    <n v="243000"/>
    <n v="0.02"/>
    <s v="Completed"/>
    <d v="2026-03-27T00:00:00"/>
    <d v="2026-03-28T00:00:00"/>
    <s v="NV Dũng"/>
    <m/>
    <n v="357"/>
    <s v="Khách hàng 012"/>
    <x v="1"/>
    <x v="0"/>
    <s v="Active"/>
    <x v="14"/>
    <s v="CAT06"/>
    <x v="1"/>
    <n v="180000"/>
    <n v="243000"/>
    <s v="Active"/>
    <s v="C"/>
    <s v="Kho Đà Nẵng"/>
    <s v="Miền Trung"/>
    <x v="0"/>
    <n v="3810240"/>
    <n v="2880000"/>
    <n v="930240"/>
    <b v="1"/>
    <b v="1"/>
    <n v="0"/>
    <n v="1"/>
    <b v="1"/>
    <b v="0"/>
    <n v="3810240"/>
    <n v="930240"/>
    <n v="16"/>
    <n v="16"/>
    <n v="0"/>
    <n v="1"/>
    <n v="0"/>
    <n v="930240"/>
  </r>
  <r>
    <d v="2026-02-23T00:00:00"/>
    <s v="SO2602-0108"/>
    <n v="3"/>
    <s v="KH024"/>
    <s v="VT026"/>
    <s v="WH_DN"/>
    <n v="29"/>
    <n v="28"/>
    <n v="146000"/>
    <n v="0.1"/>
    <s v="Completed"/>
    <d v="2026-02-25T00:00:00"/>
    <d v="2026-03-04T00:00:00"/>
    <s v="NV An"/>
    <m/>
    <n v="358"/>
    <s v="Khách hàng 024"/>
    <x v="1"/>
    <x v="3"/>
    <s v="Active"/>
    <x v="29"/>
    <s v="CAT02"/>
    <x v="3"/>
    <n v="120000"/>
    <n v="146000"/>
    <s v="Active"/>
    <s v="B"/>
    <s v="Kho Đà Nẵng"/>
    <s v="Miền Trung"/>
    <x v="5"/>
    <n v="3679200"/>
    <n v="3360000"/>
    <n v="319200"/>
    <b v="1"/>
    <b v="1"/>
    <n v="0"/>
    <n v="7"/>
    <b v="1"/>
    <b v="0"/>
    <n v="3679200"/>
    <n v="319200"/>
    <n v="28"/>
    <n v="29"/>
    <n v="0"/>
    <n v="1"/>
    <n v="0"/>
    <n v="319200"/>
  </r>
  <r>
    <d v="2026-03-11T00:00:00"/>
    <s v="SO2603-0061"/>
    <n v="4"/>
    <s v="KH025"/>
    <s v="VT013"/>
    <s v="WH_DA"/>
    <n v="10"/>
    <n v="10"/>
    <n v="614000"/>
    <n v="0.05"/>
    <s v="Completed"/>
    <d v="2026-03-16T00:00:00"/>
    <d v="2026-03-16T00:00:00"/>
    <s v="NV Chi"/>
    <m/>
    <n v="359"/>
    <s v="Khách hàng 025"/>
    <x v="1"/>
    <x v="0"/>
    <s v="Active"/>
    <x v="12"/>
    <s v="CAT01"/>
    <x v="5"/>
    <n v="480000"/>
    <n v="614000"/>
    <s v="Active"/>
    <s v="B"/>
    <s v="Kho Đông Anh"/>
    <s v="Miền Bắc"/>
    <x v="0"/>
    <n v="5833000"/>
    <n v="4800000"/>
    <n v="1033000"/>
    <b v="1"/>
    <b v="1"/>
    <n v="1"/>
    <n v="0"/>
    <b v="1"/>
    <b v="0"/>
    <n v="5833000"/>
    <n v="1033000"/>
    <n v="10"/>
    <n v="10"/>
    <n v="1"/>
    <n v="1"/>
    <n v="0"/>
    <n v="1033000"/>
  </r>
  <r>
    <d v="2026-05-05T00:00:00"/>
    <s v="SO2605-0077"/>
    <n v="3"/>
    <s v="KH036"/>
    <s v="VT004"/>
    <s v="WH_HCM"/>
    <n v="7"/>
    <n v="7"/>
    <n v="234000"/>
    <n v="0.02"/>
    <s v="Completed"/>
    <d v="2026-05-10T00:00:00"/>
    <d v="2026-05-17T00:00:00"/>
    <s v="NV An"/>
    <m/>
    <n v="360"/>
    <s v="Khách hàng 036"/>
    <x v="0"/>
    <x v="0"/>
    <s v="Active"/>
    <x v="23"/>
    <s v="CAT04"/>
    <x v="0"/>
    <n v="180000"/>
    <n v="234000"/>
    <s v="Active"/>
    <s v="A"/>
    <s v="Kho HCM"/>
    <s v="Miền Nam"/>
    <x v="1"/>
    <n v="1605240"/>
    <n v="1260000"/>
    <n v="345240"/>
    <b v="1"/>
    <b v="1"/>
    <n v="0"/>
    <n v="7"/>
    <b v="1"/>
    <b v="0"/>
    <n v="1605240"/>
    <n v="345240"/>
    <n v="7"/>
    <n v="7"/>
    <n v="0"/>
    <n v="1"/>
    <n v="0"/>
    <n v="345240"/>
  </r>
  <r>
    <d v="2026-04-26T00:00:00"/>
    <s v="SO2604-0086"/>
    <n v="3"/>
    <s v="KH024"/>
    <s v="VT024"/>
    <s v="WH_DN"/>
    <n v="23"/>
    <n v="23"/>
    <n v="1620000"/>
    <n v="0.1"/>
    <s v="Completed"/>
    <d v="2026-05-03T00:00:00"/>
    <d v="2026-05-03T00:00:00"/>
    <s v="NV Bình"/>
    <m/>
    <n v="361"/>
    <s v="Khách hàng 024"/>
    <x v="1"/>
    <x v="3"/>
    <s v="Active"/>
    <x v="26"/>
    <s v="CAT06"/>
    <x v="1"/>
    <n v="1200000"/>
    <n v="1620000"/>
    <s v="Active"/>
    <s v="C"/>
    <s v="Kho Đà Nẵng"/>
    <s v="Miền Trung"/>
    <x v="4"/>
    <n v="33534000"/>
    <n v="27600000"/>
    <n v="5934000"/>
    <b v="1"/>
    <b v="1"/>
    <n v="1"/>
    <n v="0"/>
    <b v="1"/>
    <b v="0"/>
    <n v="33534000"/>
    <n v="5934000"/>
    <n v="23"/>
    <n v="23"/>
    <n v="1"/>
    <n v="1"/>
    <n v="0"/>
    <n v="5934000"/>
  </r>
  <r>
    <d v="2026-03-14T00:00:00"/>
    <s v="SO2603-0091"/>
    <n v="3"/>
    <s v="KH033"/>
    <s v="VT032"/>
    <s v="WH_HCM"/>
    <n v="6"/>
    <n v="6"/>
    <n v="1098000"/>
    <n v="0.1"/>
    <s v="Completed"/>
    <d v="2026-03-16T00:00:00"/>
    <d v="2026-03-23T00:00:00"/>
    <s v="NV Bình"/>
    <m/>
    <n v="362"/>
    <s v="Khách hàng 033"/>
    <x v="1"/>
    <x v="1"/>
    <s v="Active"/>
    <x v="17"/>
    <s v="CAT02"/>
    <x v="3"/>
    <n v="900000"/>
    <n v="1098000"/>
    <s v="Active"/>
    <s v="B"/>
    <s v="Kho HCM"/>
    <s v="Miền Nam"/>
    <x v="0"/>
    <n v="5929200"/>
    <n v="5400000"/>
    <n v="529200"/>
    <b v="1"/>
    <b v="1"/>
    <n v="0"/>
    <n v="7"/>
    <b v="1"/>
    <b v="0"/>
    <n v="5929200"/>
    <n v="529200"/>
    <n v="6"/>
    <n v="6"/>
    <n v="0"/>
    <n v="1"/>
    <n v="0"/>
    <n v="529200"/>
  </r>
  <r>
    <d v="2026-06-13T00:00:00"/>
    <s v="SO2606-0087"/>
    <n v="4"/>
    <s v="KH040"/>
    <s v="VT026"/>
    <s v="WH_HN"/>
    <n v="6"/>
    <n v="6"/>
    <n v="146000"/>
    <n v="0.02"/>
    <s v="Completed"/>
    <d v="2026-06-23T00:00:00"/>
    <d v="2026-06-23T00:00:00"/>
    <s v="NV Chi"/>
    <m/>
    <n v="363"/>
    <s v="Khách hàng 040"/>
    <x v="1"/>
    <x v="0"/>
    <s v="Active"/>
    <x v="29"/>
    <s v="CAT02"/>
    <x v="3"/>
    <n v="120000"/>
    <n v="146000"/>
    <s v="Active"/>
    <s v="B"/>
    <s v="Kho Hà Nội"/>
    <s v="Miền Bắc"/>
    <x v="3"/>
    <n v="858480"/>
    <n v="720000"/>
    <n v="138480"/>
    <b v="1"/>
    <b v="1"/>
    <n v="1"/>
    <n v="0"/>
    <b v="1"/>
    <b v="0"/>
    <n v="858480"/>
    <n v="138480"/>
    <n v="6"/>
    <n v="6"/>
    <n v="1"/>
    <n v="1"/>
    <n v="0"/>
    <n v="138480"/>
  </r>
  <r>
    <d v="2026-06-04T00:00:00"/>
    <s v="SO2606-0102"/>
    <n v="3"/>
    <s v="KH029"/>
    <s v="VT024"/>
    <s v="WH_HCM"/>
    <n v="27"/>
    <n v="27"/>
    <n v="1620000"/>
    <n v="0.1"/>
    <s v="Completed"/>
    <d v="2026-06-06T00:00:00"/>
    <d v="2026-06-09T00:00:00"/>
    <s v="NV Chi"/>
    <m/>
    <n v="364"/>
    <s v="Khách hàng 029"/>
    <x v="1"/>
    <x v="3"/>
    <s v="Active"/>
    <x v="26"/>
    <s v="CAT06"/>
    <x v="1"/>
    <n v="1200000"/>
    <n v="1620000"/>
    <s v="Active"/>
    <s v="C"/>
    <s v="Kho HCM"/>
    <s v="Miền Nam"/>
    <x v="3"/>
    <n v="39366000"/>
    <n v="32400000"/>
    <n v="6966000"/>
    <b v="1"/>
    <b v="1"/>
    <n v="0"/>
    <n v="3"/>
    <b v="1"/>
    <b v="0"/>
    <n v="39366000"/>
    <n v="6966000"/>
    <n v="27"/>
    <n v="27"/>
    <n v="0"/>
    <n v="1"/>
    <n v="0"/>
    <n v="6966000"/>
  </r>
  <r>
    <d v="2026-06-29T00:00:00"/>
    <s v="SO2606-0021"/>
    <n v="2"/>
    <s v="KH011"/>
    <s v="VT026"/>
    <s v="WH_HN"/>
    <n v="7"/>
    <n v="5"/>
    <n v="146000"/>
    <n v="0"/>
    <s v="Completed"/>
    <d v="2026-06-30T00:00:00"/>
    <d v="2026-07-07T00:00:00"/>
    <s v="NV Dũng"/>
    <m/>
    <n v="365"/>
    <s v="Khách hàng 011"/>
    <x v="0"/>
    <x v="2"/>
    <s v="Active"/>
    <x v="29"/>
    <s v="CAT02"/>
    <x v="3"/>
    <n v="120000"/>
    <n v="146000"/>
    <s v="Active"/>
    <s v="B"/>
    <s v="Kho Hà Nội"/>
    <s v="Miền Bắc"/>
    <x v="3"/>
    <n v="730000"/>
    <n v="600000"/>
    <n v="130000"/>
    <b v="1"/>
    <b v="1"/>
    <n v="0"/>
    <n v="7"/>
    <b v="1"/>
    <b v="0"/>
    <n v="730000"/>
    <n v="130000"/>
    <n v="5"/>
    <n v="7"/>
    <n v="0"/>
    <n v="1"/>
    <n v="0"/>
    <n v="130000"/>
  </r>
  <r>
    <d v="2026-05-15T00:00:00"/>
    <s v="SO2605-0022"/>
    <n v="1"/>
    <s v="KH017"/>
    <s v="VT010"/>
    <s v="WH_HN"/>
    <n v="25"/>
    <n v="24"/>
    <n v="1170000"/>
    <n v="0.02"/>
    <s v="Completed"/>
    <d v="2026-05-20T00:00:00"/>
    <d v="2026-05-23T00:00:00"/>
    <s v="NV Bình"/>
    <m/>
    <n v="366"/>
    <s v="Khách hàng 017"/>
    <x v="2"/>
    <x v="0"/>
    <s v="Active"/>
    <x v="0"/>
    <s v="CAT04"/>
    <x v="0"/>
    <n v="900000"/>
    <n v="1170000"/>
    <s v="Active"/>
    <s v="A"/>
    <s v="Kho Hà Nội"/>
    <s v="Miền Bắc"/>
    <x v="1"/>
    <n v="27518400"/>
    <n v="21600000"/>
    <n v="5918400"/>
    <b v="1"/>
    <b v="1"/>
    <n v="0"/>
    <n v="3"/>
    <b v="1"/>
    <b v="0"/>
    <n v="27518400"/>
    <n v="5918400"/>
    <n v="24"/>
    <n v="25"/>
    <n v="0"/>
    <n v="1"/>
    <n v="0"/>
    <n v="5918400"/>
  </r>
  <r>
    <d v="2026-02-03T00:00:00"/>
    <s v="SO2602-0135"/>
    <n v="2"/>
    <s v="KH002"/>
    <s v="VT003"/>
    <s v="WH_DN"/>
    <n v="21"/>
    <n v="0"/>
    <n v="212000"/>
    <n v="0.05"/>
    <s v="Cancelled"/>
    <d v="2026-02-10T00:00:00"/>
    <m/>
    <s v="NV Chi"/>
    <m/>
    <n v="367"/>
    <s v="Khách hàng 002"/>
    <x v="2"/>
    <x v="3"/>
    <s v="Active"/>
    <x v="5"/>
    <s v="CAT03"/>
    <x v="4"/>
    <n v="180000"/>
    <n v="212000"/>
    <s v="Active"/>
    <s v="C"/>
    <s v="Kho Đà Nẵng"/>
    <s v="Miền Trung"/>
    <x v="5"/>
    <n v="0"/>
    <m/>
    <n v="0"/>
    <b v="1"/>
    <b v="0"/>
    <m/>
    <m/>
    <b v="0"/>
    <b v="0"/>
    <n v="0"/>
    <n v="0"/>
    <n v="0"/>
    <n v="0"/>
    <n v="0"/>
    <n v="0"/>
    <n v="0"/>
    <n v="0"/>
  </r>
  <r>
    <d v="2026-05-21T00:00:00"/>
    <s v="SO2605-0114"/>
    <n v="2"/>
    <s v="KH035"/>
    <s v="VT012"/>
    <s v="WH_HCM"/>
    <n v="28"/>
    <n v="25"/>
    <n v="1215000"/>
    <n v="0.02"/>
    <s v="Completed"/>
    <d v="2026-05-24T00:00:00"/>
    <d v="2026-05-25T00:00:00"/>
    <s v="NV Bình"/>
    <m/>
    <n v="368"/>
    <s v="Khách hàng 035"/>
    <x v="1"/>
    <x v="1"/>
    <s v="Active"/>
    <x v="19"/>
    <s v="CAT06"/>
    <x v="1"/>
    <n v="900000"/>
    <n v="1215000"/>
    <s v="Active"/>
    <s v="B"/>
    <s v="Kho HCM"/>
    <s v="Miền Nam"/>
    <x v="1"/>
    <n v="29767500"/>
    <n v="22500000"/>
    <n v="7267500"/>
    <b v="1"/>
    <b v="1"/>
    <n v="0"/>
    <n v="1"/>
    <b v="1"/>
    <b v="0"/>
    <n v="29767500"/>
    <n v="7267500"/>
    <n v="25"/>
    <n v="28"/>
    <n v="0"/>
    <n v="1"/>
    <n v="0"/>
    <n v="7267500"/>
  </r>
  <r>
    <d v="2026-01-23T00:00:00"/>
    <s v="SO2601-0114"/>
    <n v="3"/>
    <s v="KH024"/>
    <s v="VT027"/>
    <s v="WH_DN"/>
    <n v="10"/>
    <n v="9"/>
    <n v="1062000"/>
    <n v="0"/>
    <s v="Completed"/>
    <d v="2026-01-26T00:00:00"/>
    <d v="2026-01-26T00:00:00"/>
    <s v="NV Dũng"/>
    <m/>
    <n v="369"/>
    <s v="Khách hàng 024"/>
    <x v="1"/>
    <x v="3"/>
    <s v="Active"/>
    <x v="16"/>
    <s v="CAT03"/>
    <x v="4"/>
    <n v="900000"/>
    <n v="1062000"/>
    <s v="Active"/>
    <s v="A"/>
    <s v="Kho Đà Nẵng"/>
    <s v="Miền Trung"/>
    <x v="2"/>
    <n v="9558000"/>
    <n v="8100000"/>
    <n v="1458000"/>
    <b v="1"/>
    <b v="1"/>
    <n v="1"/>
    <n v="0"/>
    <b v="1"/>
    <b v="0"/>
    <n v="9558000"/>
    <n v="1458000"/>
    <n v="9"/>
    <n v="10"/>
    <n v="1"/>
    <n v="1"/>
    <n v="0"/>
    <n v="1458000"/>
  </r>
  <r>
    <d v="2026-05-17T00:00:00"/>
    <s v="SO2605-0003"/>
    <n v="4"/>
    <s v="KH031"/>
    <s v="VT020"/>
    <s v="WH_HN"/>
    <n v="28"/>
    <n v="19"/>
    <n v="793000"/>
    <n v="0"/>
    <s v="Open"/>
    <d v="2026-05-18T00:00:00"/>
    <m/>
    <s v="NV Chi"/>
    <m/>
    <n v="370"/>
    <s v="Khách hàng 031"/>
    <x v="0"/>
    <x v="1"/>
    <s v="Inactive"/>
    <x v="36"/>
    <s v="CAT02"/>
    <x v="3"/>
    <n v="650000"/>
    <n v="793000"/>
    <s v="Active"/>
    <s v="B"/>
    <s v="Kho Hà Nội"/>
    <s v="Miền Bắc"/>
    <x v="1"/>
    <n v="15067000"/>
    <n v="12350000"/>
    <n v="2717000"/>
    <b v="1"/>
    <b v="0"/>
    <m/>
    <m/>
    <b v="1"/>
    <b v="0"/>
    <n v="15067000"/>
    <n v="2717000"/>
    <n v="19"/>
    <n v="28"/>
    <n v="0"/>
    <n v="0"/>
    <n v="0"/>
    <n v="2717000"/>
  </r>
  <r>
    <d v="2026-02-18T00:00:00"/>
    <s v="SO2602-0106"/>
    <n v="4"/>
    <s v="KH026"/>
    <s v="VT016"/>
    <s v="WH_DA"/>
    <n v="25"/>
    <n v="7"/>
    <n v="845000"/>
    <n v="0.02"/>
    <s v="Open"/>
    <d v="2026-02-19T00:00:00"/>
    <m/>
    <s v="NV Dũng"/>
    <m/>
    <n v="371"/>
    <s v="Khách hàng 026"/>
    <x v="2"/>
    <x v="1"/>
    <s v="Active"/>
    <x v="13"/>
    <s v="CAT04"/>
    <x v="0"/>
    <n v="650000"/>
    <n v="845000"/>
    <s v="Active"/>
    <s v="C"/>
    <s v="Kho Đông Anh"/>
    <s v="Miền Bắc"/>
    <x v="5"/>
    <n v="5796700"/>
    <n v="4550000"/>
    <n v="1246700"/>
    <b v="1"/>
    <b v="0"/>
    <m/>
    <m/>
    <b v="1"/>
    <b v="0"/>
    <n v="5796700"/>
    <n v="1246700"/>
    <n v="7"/>
    <n v="25"/>
    <n v="0"/>
    <n v="0"/>
    <n v="0"/>
    <n v="1246700"/>
  </r>
  <r>
    <d v="2026-06-10T00:00:00"/>
    <s v="SO2606-0062"/>
    <n v="3"/>
    <s v="KH019"/>
    <s v="VT035"/>
    <s v="WH_DN"/>
    <n v="27"/>
    <n v="27"/>
    <n v="312000"/>
    <n v="0"/>
    <s v="Completed"/>
    <d v="2026-06-13T00:00:00"/>
    <d v="2026-06-12T00:00:00"/>
    <s v="NV Dũng"/>
    <m/>
    <n v="372"/>
    <s v="Khách hàng 019"/>
    <x v="2"/>
    <x v="1"/>
    <s v="Active"/>
    <x v="18"/>
    <s v="CAT05"/>
    <x v="2"/>
    <n v="250000"/>
    <n v="312000"/>
    <s v="Discontinued"/>
    <s v="C"/>
    <s v="Kho Đà Nẵng"/>
    <s v="Miền Trung"/>
    <x v="3"/>
    <n v="8424000"/>
    <n v="6750000"/>
    <n v="1674000"/>
    <b v="1"/>
    <b v="1"/>
    <n v="1"/>
    <n v="-1"/>
    <b v="1"/>
    <b v="0"/>
    <n v="8424000"/>
    <n v="1674000"/>
    <n v="27"/>
    <n v="27"/>
    <n v="1"/>
    <n v="1"/>
    <n v="0"/>
    <n v="1674000"/>
  </r>
  <r>
    <d v="2026-06-08T00:00:00"/>
    <s v="SO2606-0116"/>
    <n v="3"/>
    <s v="KH040"/>
    <s v="VT032"/>
    <s v="WH_DA"/>
    <n v="21"/>
    <n v="20"/>
    <n v="1098000"/>
    <n v="0"/>
    <s v="Completed"/>
    <d v="2026-06-10T00:00:00"/>
    <d v="2026-06-09T00:00:00"/>
    <s v="NV Chi"/>
    <m/>
    <n v="373"/>
    <s v="Khách hàng 040"/>
    <x v="1"/>
    <x v="0"/>
    <s v="Active"/>
    <x v="17"/>
    <s v="CAT02"/>
    <x v="3"/>
    <n v="900000"/>
    <n v="1098000"/>
    <s v="Active"/>
    <s v="B"/>
    <s v="Kho Đông Anh"/>
    <s v="Miền Bắc"/>
    <x v="3"/>
    <n v="21960000"/>
    <n v="18000000"/>
    <n v="3960000"/>
    <b v="1"/>
    <b v="1"/>
    <n v="1"/>
    <n v="-1"/>
    <b v="1"/>
    <b v="0"/>
    <n v="21960000"/>
    <n v="3960000"/>
    <n v="20"/>
    <n v="21"/>
    <n v="1"/>
    <n v="1"/>
    <n v="0"/>
    <n v="3960000"/>
  </r>
  <r>
    <d v="2026-03-10T00:00:00"/>
    <s v="SO2603-0033"/>
    <n v="4"/>
    <s v="KH001"/>
    <s v="VT015"/>
    <s v="WH_HN"/>
    <n v="10"/>
    <n v="10"/>
    <n v="2124000"/>
    <n v="0.05"/>
    <s v="Completed"/>
    <d v="2026-03-13T00:00:00"/>
    <d v="2026-03-20T00:00:00"/>
    <s v="NV Dũng"/>
    <m/>
    <n v="374"/>
    <s v="Khách hàng 001"/>
    <x v="0"/>
    <x v="2"/>
    <s v="Active"/>
    <x v="20"/>
    <s v="CAT03"/>
    <x v="4"/>
    <n v="1800000"/>
    <n v="2124000"/>
    <s v="Active"/>
    <s v="C"/>
    <s v="Kho Hà Nội"/>
    <s v="Miền Bắc"/>
    <x v="0"/>
    <n v="20178000"/>
    <n v="18000000"/>
    <n v="2178000"/>
    <b v="1"/>
    <b v="1"/>
    <n v="0"/>
    <n v="7"/>
    <b v="1"/>
    <b v="0"/>
    <n v="20178000"/>
    <n v="2178000"/>
    <n v="10"/>
    <n v="10"/>
    <n v="0"/>
    <n v="1"/>
    <n v="0"/>
    <n v="2178000"/>
  </r>
  <r>
    <d v="2026-04-06T00:00:00"/>
    <s v="SO2604-0119"/>
    <n v="1"/>
    <s v="KH022"/>
    <s v="VT006"/>
    <s v="WH_DA"/>
    <n v="4"/>
    <n v="4"/>
    <n v="2430000"/>
    <n v="0.08"/>
    <s v="Completed"/>
    <d v="2026-04-11T00:00:00"/>
    <d v="2026-04-11T00:00:00"/>
    <s v="NV Bình"/>
    <m/>
    <n v="375"/>
    <s v="Khách hàng 022"/>
    <x v="2"/>
    <x v="0"/>
    <s v="Active"/>
    <x v="1"/>
    <s v="CAT06"/>
    <x v="1"/>
    <n v="1800000"/>
    <n v="2430000"/>
    <s v="Active"/>
    <s v="C"/>
    <s v="Kho Đông Anh"/>
    <s v="Miền Bắc"/>
    <x v="4"/>
    <n v="8942400"/>
    <n v="7200000"/>
    <n v="1742400"/>
    <b v="1"/>
    <b v="1"/>
    <n v="1"/>
    <n v="0"/>
    <b v="1"/>
    <b v="0"/>
    <n v="8942400"/>
    <n v="1742400"/>
    <n v="4"/>
    <n v="4"/>
    <n v="1"/>
    <n v="1"/>
    <n v="0"/>
    <n v="1742400"/>
  </r>
  <r>
    <d v="2026-03-06T00:00:00"/>
    <s v="SO2603-0098"/>
    <n v="1"/>
    <s v="KH008"/>
    <s v="VT016"/>
    <s v="WH_HCM"/>
    <n v="29"/>
    <n v="29"/>
    <n v="845000"/>
    <n v="0.05"/>
    <s v="Completed"/>
    <d v="2026-03-16T00:00:00"/>
    <d v="2026-03-23T00:00:00"/>
    <s v="NV An"/>
    <m/>
    <n v="376"/>
    <s v="Khách hàng 008"/>
    <x v="1"/>
    <x v="2"/>
    <s v="Active"/>
    <x v="13"/>
    <s v="CAT04"/>
    <x v="0"/>
    <n v="650000"/>
    <n v="845000"/>
    <s v="Active"/>
    <s v="C"/>
    <s v="Kho HCM"/>
    <s v="Miền Nam"/>
    <x v="0"/>
    <n v="23279750"/>
    <n v="18850000"/>
    <n v="4429750"/>
    <b v="1"/>
    <b v="1"/>
    <n v="0"/>
    <n v="7"/>
    <b v="1"/>
    <b v="0"/>
    <n v="23279750"/>
    <n v="4429750"/>
    <n v="29"/>
    <n v="29"/>
    <n v="0"/>
    <n v="1"/>
    <n v="0"/>
    <n v="4429750"/>
  </r>
  <r>
    <d v="2026-05-14T00:00:00"/>
    <s v="SO2605-0054"/>
    <n v="4"/>
    <s v="KH025"/>
    <s v="VT020"/>
    <s v="WH_DN"/>
    <n v="11"/>
    <n v="10"/>
    <n v="793000"/>
    <n v="0.08"/>
    <s v="Completed"/>
    <d v="2026-05-21T00:00:00"/>
    <d v="2026-05-20T00:00:00"/>
    <s v="NV Chi"/>
    <m/>
    <n v="377"/>
    <s v="Khách hàng 025"/>
    <x v="1"/>
    <x v="0"/>
    <s v="Active"/>
    <x v="36"/>
    <s v="CAT02"/>
    <x v="3"/>
    <n v="650000"/>
    <n v="793000"/>
    <s v="Active"/>
    <s v="B"/>
    <s v="Kho Đà Nẵng"/>
    <s v="Miền Trung"/>
    <x v="1"/>
    <n v="7295600"/>
    <n v="6500000"/>
    <n v="795600"/>
    <b v="1"/>
    <b v="1"/>
    <n v="1"/>
    <n v="-1"/>
    <b v="1"/>
    <b v="0"/>
    <n v="7295600"/>
    <n v="795600"/>
    <n v="10"/>
    <n v="11"/>
    <n v="1"/>
    <n v="1"/>
    <n v="0"/>
    <n v="795600"/>
  </r>
  <r>
    <d v="2026-05-04T00:00:00"/>
    <s v="SO2605-0077"/>
    <n v="2"/>
    <s v="KH024"/>
    <s v="VT004"/>
    <s v="WH_DA"/>
    <n v="8"/>
    <n v="8"/>
    <n v="234000"/>
    <n v="0"/>
    <s v="Completed"/>
    <d v="2026-05-06T00:00:00"/>
    <d v="2026-05-13T00:00:00"/>
    <s v="NV Chi"/>
    <m/>
    <n v="378"/>
    <s v="Khách hàng 024"/>
    <x v="1"/>
    <x v="3"/>
    <s v="Active"/>
    <x v="23"/>
    <s v="CAT04"/>
    <x v="0"/>
    <n v="180000"/>
    <n v="234000"/>
    <s v="Active"/>
    <s v="A"/>
    <s v="Kho Đông Anh"/>
    <s v="Miền Bắc"/>
    <x v="1"/>
    <n v="1872000"/>
    <n v="1440000"/>
    <n v="432000"/>
    <b v="1"/>
    <b v="1"/>
    <n v="0"/>
    <n v="7"/>
    <b v="1"/>
    <b v="0"/>
    <n v="1872000"/>
    <n v="432000"/>
    <n v="8"/>
    <n v="8"/>
    <n v="0"/>
    <n v="1"/>
    <n v="0"/>
    <n v="432000"/>
  </r>
  <r>
    <d v="2026-05-30T00:00:00"/>
    <s v="SO2605-0031"/>
    <n v="4"/>
    <s v="KH016"/>
    <s v="VT001"/>
    <s v="WH_HN"/>
    <n v="31"/>
    <n v="31"/>
    <n v="230000"/>
    <n v="0"/>
    <s v="Completed"/>
    <d v="2026-06-01T00:00:00"/>
    <d v="2026-06-01T00:00:00"/>
    <s v="NV Dũng"/>
    <m/>
    <n v="379"/>
    <s v="Khách hàng 016"/>
    <x v="0"/>
    <x v="1"/>
    <s v="Active"/>
    <x v="31"/>
    <s v="CAT01"/>
    <x v="5"/>
    <n v="180000"/>
    <n v="230000"/>
    <s v="Active"/>
    <s v="B"/>
    <s v="Kho Hà Nội"/>
    <s v="Miền Bắc"/>
    <x v="1"/>
    <n v="7130000"/>
    <n v="5580000"/>
    <n v="1550000"/>
    <b v="1"/>
    <b v="1"/>
    <n v="1"/>
    <n v="0"/>
    <b v="1"/>
    <b v="0"/>
    <n v="7130000"/>
    <n v="1550000"/>
    <n v="31"/>
    <n v="31"/>
    <n v="1"/>
    <n v="1"/>
    <n v="0"/>
    <n v="1550000"/>
  </r>
  <r>
    <d v="2026-01-24T00:00:00"/>
    <s v="SO2601-0087"/>
    <n v="1"/>
    <s v="KH004"/>
    <s v="VT023"/>
    <s v="WH_DA"/>
    <n v="35"/>
    <n v="8"/>
    <n v="2250000"/>
    <n v="0.05"/>
    <s v="Open"/>
    <d v="2026-01-26T00:00:00"/>
    <m/>
    <s v="NV Chi"/>
    <m/>
    <n v="380"/>
    <s v="Khách hàng 004"/>
    <x v="0"/>
    <x v="1"/>
    <s v="Active"/>
    <x v="3"/>
    <s v="CAT05"/>
    <x v="2"/>
    <n v="1800000"/>
    <n v="2250000"/>
    <s v="Active"/>
    <s v="A"/>
    <s v="Kho Đông Anh"/>
    <s v="Miền Bắc"/>
    <x v="2"/>
    <n v="17100000"/>
    <n v="14400000"/>
    <n v="2700000"/>
    <b v="1"/>
    <b v="0"/>
    <m/>
    <m/>
    <b v="1"/>
    <b v="0"/>
    <n v="17100000"/>
    <n v="2700000"/>
    <n v="8"/>
    <n v="35"/>
    <n v="0"/>
    <n v="0"/>
    <n v="0"/>
    <n v="2700000"/>
  </r>
  <r>
    <d v="2026-05-23T00:00:00"/>
    <s v="SO2605-0089"/>
    <n v="4"/>
    <s v="KH013"/>
    <s v="VT002"/>
    <s v="WH_HCM"/>
    <n v="23"/>
    <n v="8"/>
    <n v="427000"/>
    <n v="0"/>
    <s v="Open"/>
    <d v="2026-05-28T00:00:00"/>
    <m/>
    <s v="NV Dũng"/>
    <m/>
    <n v="381"/>
    <s v="Khách hàng 013"/>
    <x v="1"/>
    <x v="1"/>
    <s v="Active"/>
    <x v="4"/>
    <s v="CAT02"/>
    <x v="3"/>
    <n v="350000"/>
    <n v="427000"/>
    <s v="Active"/>
    <s v="C"/>
    <s v="Kho HCM"/>
    <s v="Miền Nam"/>
    <x v="1"/>
    <n v="3416000"/>
    <n v="2800000"/>
    <n v="616000"/>
    <b v="1"/>
    <b v="0"/>
    <m/>
    <m/>
    <b v="1"/>
    <b v="0"/>
    <n v="3416000"/>
    <n v="616000"/>
    <n v="8"/>
    <n v="23"/>
    <n v="0"/>
    <n v="0"/>
    <n v="0"/>
    <n v="616000"/>
  </r>
  <r>
    <d v="2026-05-24T00:00:00"/>
    <s v="SO2605-0076"/>
    <n v="4"/>
    <s v="KH013"/>
    <s v="VT012"/>
    <s v="WH_DN"/>
    <n v="21"/>
    <n v="8"/>
    <n v="1215000"/>
    <n v="0.08"/>
    <s v="Open"/>
    <d v="2026-05-31T00:00:00"/>
    <m/>
    <s v="NV Bình"/>
    <m/>
    <n v="382"/>
    <s v="Khách hàng 013"/>
    <x v="1"/>
    <x v="1"/>
    <s v="Active"/>
    <x v="19"/>
    <s v="CAT06"/>
    <x v="1"/>
    <n v="900000"/>
    <n v="1215000"/>
    <s v="Active"/>
    <s v="B"/>
    <s v="Kho Đà Nẵng"/>
    <s v="Miền Trung"/>
    <x v="1"/>
    <n v="8942400"/>
    <n v="7200000"/>
    <n v="1742400"/>
    <b v="1"/>
    <b v="0"/>
    <m/>
    <m/>
    <b v="1"/>
    <b v="0"/>
    <n v="8942400"/>
    <n v="1742400"/>
    <n v="8"/>
    <n v="21"/>
    <n v="0"/>
    <n v="0"/>
    <n v="0"/>
    <n v="1742400"/>
  </r>
  <r>
    <d v="2026-01-18T00:00:00"/>
    <s v="SO2601-0136"/>
    <n v="2"/>
    <s v="KH029"/>
    <s v="VT019"/>
    <s v="WH_DN"/>
    <n v="35"/>
    <n v="34"/>
    <n v="1152000"/>
    <n v="0.08"/>
    <s v="Completed"/>
    <d v="2026-01-23T00:00:00"/>
    <d v="2026-01-26T00:00:00"/>
    <s v="NV Bình"/>
    <m/>
    <n v="383"/>
    <s v="Khách hàng 029"/>
    <x v="1"/>
    <x v="3"/>
    <s v="Active"/>
    <x v="27"/>
    <s v="CAT01"/>
    <x v="5"/>
    <n v="900000"/>
    <n v="1152000"/>
    <s v="Active"/>
    <s v="C"/>
    <s v="Kho Đà Nẵng"/>
    <s v="Miền Trung"/>
    <x v="2"/>
    <n v="36034560"/>
    <n v="30600000"/>
    <n v="5434560"/>
    <b v="1"/>
    <b v="1"/>
    <n v="0"/>
    <n v="3"/>
    <b v="1"/>
    <b v="0"/>
    <n v="36034560"/>
    <n v="5434560"/>
    <n v="34"/>
    <n v="35"/>
    <n v="0"/>
    <n v="1"/>
    <n v="0"/>
    <n v="5434560"/>
  </r>
  <r>
    <d v="2026-01-05T00:00:00"/>
    <s v="SO2601-0094"/>
    <n v="2"/>
    <s v="KH021"/>
    <s v="VT005"/>
    <s v="WH_HCM"/>
    <n v="13"/>
    <n v="11"/>
    <n v="150000"/>
    <n v="0"/>
    <s v="Completed"/>
    <d v="2026-01-12T00:00:00"/>
    <d v="2026-01-12T00:00:00"/>
    <s v="NV Chi"/>
    <m/>
    <n v="384"/>
    <s v="Khách hàng 021"/>
    <x v="0"/>
    <x v="3"/>
    <s v="Active"/>
    <x v="2"/>
    <s v="CAT05"/>
    <x v="2"/>
    <n v="120000"/>
    <n v="150000"/>
    <s v="Active"/>
    <s v="A"/>
    <s v="Kho HCM"/>
    <s v="Miền Nam"/>
    <x v="2"/>
    <n v="1650000"/>
    <n v="1320000"/>
    <n v="330000"/>
    <b v="1"/>
    <b v="1"/>
    <n v="1"/>
    <n v="0"/>
    <b v="1"/>
    <b v="0"/>
    <n v="1650000"/>
    <n v="330000"/>
    <n v="11"/>
    <n v="13"/>
    <n v="1"/>
    <n v="1"/>
    <n v="0"/>
    <n v="330000"/>
  </r>
  <r>
    <d v="2026-04-15T00:00:00"/>
    <s v="SO2604-0083"/>
    <n v="1"/>
    <s v="KH007"/>
    <s v="VT034"/>
    <s v="WH_HN"/>
    <n v="3"/>
    <n v="0"/>
    <n v="234000"/>
    <n v="0"/>
    <s v="Open"/>
    <d v="2026-04-16T00:00:00"/>
    <m/>
    <s v="NV Bình"/>
    <m/>
    <n v="385"/>
    <s v="Khách hàng 007"/>
    <x v="2"/>
    <x v="2"/>
    <s v="Active"/>
    <x v="22"/>
    <s v="CAT04"/>
    <x v="0"/>
    <n v="180000"/>
    <n v="234000"/>
    <s v="Active"/>
    <s v="A"/>
    <s v="Kho Hà Nội"/>
    <s v="Miền Bắc"/>
    <x v="4"/>
    <n v="0"/>
    <n v="0"/>
    <n v="0"/>
    <b v="1"/>
    <b v="0"/>
    <m/>
    <m/>
    <b v="1"/>
    <b v="0"/>
    <n v="0"/>
    <n v="0"/>
    <n v="0"/>
    <n v="3"/>
    <n v="0"/>
    <n v="0"/>
    <n v="0"/>
    <n v="0"/>
  </r>
  <r>
    <d v="2026-01-28T00:00:00"/>
    <s v="SO2601-0125"/>
    <n v="2"/>
    <s v="KH007"/>
    <s v="VT003"/>
    <s v="WH_HCM"/>
    <n v="32"/>
    <n v="29"/>
    <n v="212000"/>
    <n v="0.02"/>
    <s v="Completed"/>
    <d v="2026-01-29T00:00:00"/>
    <d v="2026-01-29T00:00:00"/>
    <s v="NV Bình"/>
    <m/>
    <n v="386"/>
    <s v="Khách hàng 007"/>
    <x v="2"/>
    <x v="2"/>
    <s v="Active"/>
    <x v="5"/>
    <s v="CAT03"/>
    <x v="4"/>
    <n v="180000"/>
    <n v="212000"/>
    <s v="Active"/>
    <s v="C"/>
    <s v="Kho HCM"/>
    <s v="Miền Nam"/>
    <x v="2"/>
    <n v="6025040"/>
    <n v="5220000"/>
    <n v="805040"/>
    <b v="1"/>
    <b v="1"/>
    <n v="1"/>
    <n v="0"/>
    <b v="1"/>
    <b v="0"/>
    <n v="6025040"/>
    <n v="805040"/>
    <n v="29"/>
    <n v="32"/>
    <n v="1"/>
    <n v="1"/>
    <n v="0"/>
    <n v="805040"/>
  </r>
  <r>
    <d v="2026-06-05T00:00:00"/>
    <s v="SO2606-0019"/>
    <n v="1"/>
    <s v="KH014"/>
    <s v="VT032"/>
    <s v="WH_HN"/>
    <n v="30"/>
    <n v="1"/>
    <n v="1098000"/>
    <n v="0.02"/>
    <s v="Open"/>
    <d v="2026-06-12T00:00:00"/>
    <m/>
    <s v="NV Dũng"/>
    <m/>
    <n v="387"/>
    <s v="Khách hàng 014"/>
    <x v="2"/>
    <x v="0"/>
    <s v="Active"/>
    <x v="17"/>
    <s v="CAT02"/>
    <x v="3"/>
    <n v="900000"/>
    <n v="1098000"/>
    <s v="Active"/>
    <s v="B"/>
    <s v="Kho Hà Nội"/>
    <s v="Miền Bắc"/>
    <x v="3"/>
    <n v="1076040"/>
    <n v="900000"/>
    <n v="176040"/>
    <b v="1"/>
    <b v="0"/>
    <m/>
    <m/>
    <b v="1"/>
    <b v="0"/>
    <n v="1076040"/>
    <n v="176040"/>
    <n v="1"/>
    <n v="30"/>
    <n v="0"/>
    <n v="0"/>
    <n v="0"/>
    <n v="176040"/>
  </r>
  <r>
    <d v="2026-04-05T00:00:00"/>
    <s v="SO2604-0015"/>
    <n v="3"/>
    <s v="KH034"/>
    <s v="VT003"/>
    <s v="WH_HN"/>
    <n v="20"/>
    <n v="19"/>
    <n v="212000"/>
    <n v="0"/>
    <s v="Completed"/>
    <d v="2026-04-06T00:00:00"/>
    <d v="2026-04-09T00:00:00"/>
    <s v="NV Bình"/>
    <m/>
    <n v="388"/>
    <s v="Khách hàng 034"/>
    <x v="1"/>
    <x v="0"/>
    <s v="Active"/>
    <x v="5"/>
    <s v="CAT03"/>
    <x v="4"/>
    <n v="180000"/>
    <n v="212000"/>
    <s v="Active"/>
    <s v="C"/>
    <s v="Kho Hà Nội"/>
    <s v="Miền Bắc"/>
    <x v="4"/>
    <n v="4028000"/>
    <n v="3420000"/>
    <n v="608000"/>
    <b v="1"/>
    <b v="1"/>
    <n v="0"/>
    <n v="3"/>
    <b v="1"/>
    <b v="0"/>
    <n v="4028000"/>
    <n v="608000"/>
    <n v="19"/>
    <n v="20"/>
    <n v="0"/>
    <n v="1"/>
    <n v="0"/>
    <n v="608000"/>
  </r>
  <r>
    <d v="2026-05-17T00:00:00"/>
    <s v="SO2605-0099"/>
    <n v="2"/>
    <s v="KH013"/>
    <s v="VT034"/>
    <s v="WH_DA"/>
    <n v="12"/>
    <n v="12"/>
    <n v="234000"/>
    <n v="0.1"/>
    <s v="Completed"/>
    <d v="2026-05-18T00:00:00"/>
    <d v="2026-05-25T00:00:00"/>
    <s v="NV Chi"/>
    <m/>
    <n v="389"/>
    <s v="Khách hàng 013"/>
    <x v="1"/>
    <x v="1"/>
    <s v="Active"/>
    <x v="22"/>
    <s v="CAT04"/>
    <x v="0"/>
    <n v="180000"/>
    <n v="234000"/>
    <s v="Active"/>
    <s v="A"/>
    <s v="Kho Đông Anh"/>
    <s v="Miền Bắc"/>
    <x v="1"/>
    <n v="2527200"/>
    <n v="2160000"/>
    <n v="367200"/>
    <b v="1"/>
    <b v="1"/>
    <n v="0"/>
    <n v="7"/>
    <b v="1"/>
    <b v="0"/>
    <n v="2527200"/>
    <n v="367200"/>
    <n v="12"/>
    <n v="12"/>
    <n v="0"/>
    <n v="1"/>
    <n v="0"/>
    <n v="367200"/>
  </r>
  <r>
    <d v="2026-06-22T00:00:00"/>
    <s v="SO2606-0118"/>
    <n v="4"/>
    <s v="KH007"/>
    <s v="VT011"/>
    <s v="WH_DA"/>
    <n v="26"/>
    <n v="26"/>
    <n v="437000"/>
    <n v="0.08"/>
    <s v="Completed"/>
    <d v="2026-06-29T00:00:00"/>
    <d v="2026-06-30T00:00:00"/>
    <s v="NV Chi"/>
    <m/>
    <n v="390"/>
    <s v="Khách hàng 007"/>
    <x v="2"/>
    <x v="2"/>
    <s v="Active"/>
    <x v="33"/>
    <s v="CAT05"/>
    <x v="2"/>
    <n v="350000"/>
    <n v="437000"/>
    <s v="Active"/>
    <s v="A"/>
    <s v="Kho Đông Anh"/>
    <s v="Miền Bắc"/>
    <x v="3"/>
    <n v="10453040"/>
    <n v="9100000"/>
    <n v="1353040"/>
    <b v="1"/>
    <b v="1"/>
    <n v="0"/>
    <n v="1"/>
    <b v="1"/>
    <b v="0"/>
    <n v="10453040"/>
    <n v="1353040"/>
    <n v="26"/>
    <n v="26"/>
    <n v="0"/>
    <n v="1"/>
    <n v="0"/>
    <n v="1353040"/>
  </r>
  <r>
    <d v="2026-03-22T00:00:00"/>
    <s v="SO2603-0141"/>
    <n v="3"/>
    <s v="KH024"/>
    <s v="VT027"/>
    <s v="WH_HCM"/>
    <n v="21"/>
    <n v="18"/>
    <n v="1062000"/>
    <n v="0"/>
    <s v="Completed"/>
    <d v="2026-03-27T00:00:00"/>
    <d v="2026-04-03T00:00:00"/>
    <s v="NV Chi"/>
    <m/>
    <n v="391"/>
    <s v="Khách hàng 024"/>
    <x v="1"/>
    <x v="3"/>
    <s v="Active"/>
    <x v="16"/>
    <s v="CAT03"/>
    <x v="4"/>
    <n v="900000"/>
    <n v="1062000"/>
    <s v="Active"/>
    <s v="A"/>
    <s v="Kho HCM"/>
    <s v="Miền Nam"/>
    <x v="0"/>
    <n v="19116000"/>
    <n v="16200000"/>
    <n v="2916000"/>
    <b v="1"/>
    <b v="1"/>
    <n v="0"/>
    <n v="7"/>
    <b v="1"/>
    <b v="0"/>
    <n v="19116000"/>
    <n v="2916000"/>
    <n v="18"/>
    <n v="21"/>
    <n v="0"/>
    <n v="1"/>
    <n v="0"/>
    <n v="2916000"/>
  </r>
  <r>
    <d v="2026-04-03T00:00:00"/>
    <s v="SO2604-0116"/>
    <n v="4"/>
    <s v="KH026"/>
    <s v="VT001"/>
    <s v="WH_HN"/>
    <n v="19"/>
    <n v="19"/>
    <n v="230000"/>
    <n v="0.02"/>
    <s v="Completed"/>
    <d v="2026-04-04T00:00:00"/>
    <d v="2026-04-04T00:00:00"/>
    <s v="NV Bình"/>
    <m/>
    <n v="392"/>
    <s v="Khách hàng 026"/>
    <x v="2"/>
    <x v="1"/>
    <s v="Active"/>
    <x v="31"/>
    <s v="CAT01"/>
    <x v="5"/>
    <n v="180000"/>
    <n v="230000"/>
    <s v="Active"/>
    <s v="B"/>
    <s v="Kho Hà Nội"/>
    <s v="Miền Bắc"/>
    <x v="4"/>
    <n v="4282600"/>
    <n v="3420000"/>
    <n v="862600"/>
    <b v="1"/>
    <b v="1"/>
    <n v="1"/>
    <n v="0"/>
    <b v="1"/>
    <b v="0"/>
    <n v="4282600"/>
    <n v="862600"/>
    <n v="19"/>
    <n v="19"/>
    <n v="1"/>
    <n v="1"/>
    <n v="0"/>
    <n v="862600"/>
  </r>
  <r>
    <d v="2026-02-24T00:00:00"/>
    <s v="SO2602-0081"/>
    <n v="1"/>
    <s v="KH018"/>
    <s v="VT036"/>
    <s v="WH_DA"/>
    <n v="7"/>
    <n v="7"/>
    <n v="243000"/>
    <n v="0"/>
    <s v="Completed"/>
    <d v="2026-02-27T00:00:00"/>
    <d v="2026-02-27T00:00:00"/>
    <s v="NV Bình"/>
    <m/>
    <n v="393"/>
    <s v="Khách hàng 018"/>
    <x v="0"/>
    <x v="2"/>
    <s v="Active"/>
    <x v="14"/>
    <s v="CAT06"/>
    <x v="1"/>
    <n v="180000"/>
    <n v="243000"/>
    <s v="Active"/>
    <s v="C"/>
    <s v="Kho Đông Anh"/>
    <s v="Miền Bắc"/>
    <x v="5"/>
    <n v="1701000"/>
    <n v="1260000"/>
    <n v="441000"/>
    <b v="1"/>
    <b v="1"/>
    <n v="1"/>
    <n v="0"/>
    <b v="1"/>
    <b v="0"/>
    <n v="1701000"/>
    <n v="441000"/>
    <n v="7"/>
    <n v="7"/>
    <n v="1"/>
    <n v="1"/>
    <n v="0"/>
    <n v="441000"/>
  </r>
  <r>
    <d v="2026-03-01T00:00:00"/>
    <s v="SO2603-0066"/>
    <n v="3"/>
    <s v="KH006"/>
    <s v="VT026"/>
    <s v="WH_DA"/>
    <n v="5"/>
    <n v="3"/>
    <n v="146000"/>
    <n v="0"/>
    <s v="Open"/>
    <d v="2026-03-06T00:00:00"/>
    <m/>
    <s v="NV An"/>
    <m/>
    <n v="394"/>
    <s v="Khách hàng 006"/>
    <x v="2"/>
    <x v="0"/>
    <s v="Active"/>
    <x v="29"/>
    <s v="CAT02"/>
    <x v="3"/>
    <n v="120000"/>
    <n v="146000"/>
    <s v="Active"/>
    <s v="B"/>
    <s v="Kho Đông Anh"/>
    <s v="Miền Bắc"/>
    <x v="0"/>
    <n v="438000"/>
    <n v="360000"/>
    <n v="78000"/>
    <b v="1"/>
    <b v="0"/>
    <m/>
    <m/>
    <b v="1"/>
    <b v="0"/>
    <n v="438000"/>
    <n v="78000"/>
    <n v="3"/>
    <n v="5"/>
    <n v="0"/>
    <n v="0"/>
    <n v="0"/>
    <n v="78000"/>
  </r>
  <r>
    <d v="2026-06-02T00:00:00"/>
    <s v="SO2606-0077"/>
    <n v="1"/>
    <s v="KH037"/>
    <s v="VT025"/>
    <s v="WH_HN"/>
    <n v="4"/>
    <n v="0"/>
    <n v="2304000"/>
    <n v="0.02"/>
    <s v="Cancelled"/>
    <d v="2026-06-05T00:00:00"/>
    <m/>
    <s v="NV Dũng"/>
    <m/>
    <n v="395"/>
    <s v="Khách hàng 037"/>
    <x v="0"/>
    <x v="0"/>
    <s v="Active"/>
    <x v="10"/>
    <s v="CAT01"/>
    <x v="5"/>
    <n v="1800000"/>
    <n v="2304000"/>
    <s v="Active"/>
    <s v="B"/>
    <s v="Kho Hà Nội"/>
    <s v="Miền Bắc"/>
    <x v="3"/>
    <n v="0"/>
    <m/>
    <n v="0"/>
    <b v="1"/>
    <b v="0"/>
    <m/>
    <m/>
    <b v="0"/>
    <b v="0"/>
    <n v="0"/>
    <n v="0"/>
    <n v="0"/>
    <n v="0"/>
    <n v="0"/>
    <n v="0"/>
    <n v="0"/>
    <n v="0"/>
  </r>
  <r>
    <d v="2026-04-17T00:00:00"/>
    <s v="SO2604-0031"/>
    <n v="2"/>
    <s v="KH039"/>
    <s v="VT001"/>
    <s v="WH_HCM"/>
    <n v="4"/>
    <n v="4"/>
    <n v="230000"/>
    <n v="0.08"/>
    <s v="Completed"/>
    <d v="2026-04-24T00:00:00"/>
    <d v="2026-04-24T00:00:00"/>
    <s v="NV Chi"/>
    <m/>
    <n v="396"/>
    <s v="Khách hàng 039"/>
    <x v="2"/>
    <x v="3"/>
    <s v="Active"/>
    <x v="31"/>
    <s v="CAT01"/>
    <x v="5"/>
    <n v="180000"/>
    <n v="230000"/>
    <s v="Active"/>
    <s v="B"/>
    <s v="Kho HCM"/>
    <s v="Miền Nam"/>
    <x v="4"/>
    <n v="846400"/>
    <n v="720000"/>
    <n v="126400"/>
    <b v="1"/>
    <b v="1"/>
    <n v="1"/>
    <n v="0"/>
    <b v="1"/>
    <b v="0"/>
    <n v="846400"/>
    <n v="126400"/>
    <n v="4"/>
    <n v="4"/>
    <n v="1"/>
    <n v="1"/>
    <n v="0"/>
    <n v="126400"/>
  </r>
  <r>
    <d v="2026-05-09T00:00:00"/>
    <s v="SO2605-0057"/>
    <n v="2"/>
    <s v="KH004"/>
    <s v="VT026"/>
    <s v="WH_HCM"/>
    <n v="33"/>
    <n v="33"/>
    <n v="146000"/>
    <n v="0.05"/>
    <s v="Completed"/>
    <d v="2026-05-11T00:00:00"/>
    <d v="2026-05-11T00:00:00"/>
    <s v="NV Chi"/>
    <m/>
    <n v="397"/>
    <s v="Khách hàng 004"/>
    <x v="0"/>
    <x v="1"/>
    <s v="Active"/>
    <x v="29"/>
    <s v="CAT02"/>
    <x v="3"/>
    <n v="120000"/>
    <n v="146000"/>
    <s v="Active"/>
    <s v="B"/>
    <s v="Kho HCM"/>
    <s v="Miền Nam"/>
    <x v="1"/>
    <n v="4577100"/>
    <n v="3960000"/>
    <n v="617100"/>
    <b v="1"/>
    <b v="1"/>
    <n v="1"/>
    <n v="0"/>
    <b v="1"/>
    <b v="0"/>
    <n v="4577100"/>
    <n v="617100"/>
    <n v="33"/>
    <n v="33"/>
    <n v="1"/>
    <n v="1"/>
    <n v="0"/>
    <n v="617100"/>
  </r>
  <r>
    <d v="2026-01-22T00:00:00"/>
    <s v="SO2601-0122"/>
    <n v="1"/>
    <s v="KH036"/>
    <s v="VT026"/>
    <s v="WH_DN"/>
    <n v="6"/>
    <n v="4"/>
    <n v="146000"/>
    <n v="0"/>
    <s v="Completed"/>
    <d v="2026-01-24T00:00:00"/>
    <d v="2026-01-25T00:00:00"/>
    <s v="NV Bình"/>
    <m/>
    <n v="398"/>
    <s v="Khách hàng 036"/>
    <x v="0"/>
    <x v="0"/>
    <s v="Active"/>
    <x v="29"/>
    <s v="CAT02"/>
    <x v="3"/>
    <n v="120000"/>
    <n v="146000"/>
    <s v="Active"/>
    <s v="B"/>
    <s v="Kho Đà Nẵng"/>
    <s v="Miền Trung"/>
    <x v="2"/>
    <n v="584000"/>
    <n v="480000"/>
    <n v="104000"/>
    <b v="1"/>
    <b v="1"/>
    <n v="0"/>
    <n v="1"/>
    <b v="1"/>
    <b v="0"/>
    <n v="584000"/>
    <n v="104000"/>
    <n v="4"/>
    <n v="6"/>
    <n v="0"/>
    <n v="1"/>
    <n v="0"/>
    <n v="104000"/>
  </r>
  <r>
    <d v="2026-05-05T00:00:00"/>
    <s v="SO2605-0102"/>
    <n v="2"/>
    <s v="KH036"/>
    <s v="VT034"/>
    <s v="WH_DA"/>
    <n v="16"/>
    <n v="16"/>
    <n v="234000"/>
    <n v="0.1"/>
    <s v="Completed"/>
    <d v="2026-05-12T00:00:00"/>
    <d v="2026-05-11T00:00:00"/>
    <s v="NV An"/>
    <m/>
    <n v="399"/>
    <s v="Khách hàng 036"/>
    <x v="0"/>
    <x v="0"/>
    <s v="Active"/>
    <x v="22"/>
    <s v="CAT04"/>
    <x v="0"/>
    <n v="180000"/>
    <n v="234000"/>
    <s v="Active"/>
    <s v="A"/>
    <s v="Kho Đông Anh"/>
    <s v="Miền Bắc"/>
    <x v="1"/>
    <n v="3369600"/>
    <n v="2880000"/>
    <n v="489600"/>
    <b v="1"/>
    <b v="1"/>
    <n v="1"/>
    <n v="-1"/>
    <b v="1"/>
    <b v="0"/>
    <n v="3369600"/>
    <n v="489600"/>
    <n v="16"/>
    <n v="16"/>
    <n v="1"/>
    <n v="1"/>
    <n v="0"/>
    <n v="489600"/>
  </r>
  <r>
    <d v="2026-06-21T00:00:00"/>
    <s v="SO2606-0106"/>
    <n v="4"/>
    <s v="KH024"/>
    <s v="VT023"/>
    <s v="WH_DA"/>
    <n v="21"/>
    <n v="21"/>
    <n v="2250000"/>
    <n v="0.02"/>
    <s v="Completed"/>
    <d v="2026-06-23T00:00:00"/>
    <d v="2026-06-23T00:00:00"/>
    <s v="NV Dũng"/>
    <m/>
    <n v="400"/>
    <s v="Khách hàng 024"/>
    <x v="1"/>
    <x v="3"/>
    <s v="Active"/>
    <x v="3"/>
    <s v="CAT05"/>
    <x v="2"/>
    <n v="1800000"/>
    <n v="2250000"/>
    <s v="Active"/>
    <s v="A"/>
    <s v="Kho Đông Anh"/>
    <s v="Miền Bắc"/>
    <x v="3"/>
    <n v="46305000"/>
    <n v="37800000"/>
    <n v="8505000"/>
    <b v="1"/>
    <b v="1"/>
    <n v="1"/>
    <n v="0"/>
    <b v="1"/>
    <b v="0"/>
    <n v="46305000"/>
    <n v="8505000"/>
    <n v="21"/>
    <n v="21"/>
    <n v="1"/>
    <n v="1"/>
    <n v="0"/>
    <n v="8505000"/>
  </r>
  <r>
    <d v="2026-06-09T00:00:00"/>
    <s v="SO2606-0038"/>
    <n v="4"/>
    <s v="KH003"/>
    <s v="VT015"/>
    <s v="WH_DA"/>
    <n v="24"/>
    <n v="24"/>
    <n v="2124000"/>
    <n v="0"/>
    <s v="Completed"/>
    <d v="2026-06-19T00:00:00"/>
    <d v="2026-06-18T00:00:00"/>
    <s v="NV Bình"/>
    <m/>
    <n v="401"/>
    <s v="Khách hàng 003"/>
    <x v="2"/>
    <x v="2"/>
    <s v="Active"/>
    <x v="20"/>
    <s v="CAT03"/>
    <x v="4"/>
    <n v="1800000"/>
    <n v="2124000"/>
    <s v="Active"/>
    <s v="C"/>
    <s v="Kho Đông Anh"/>
    <s v="Miền Bắc"/>
    <x v="3"/>
    <n v="50976000"/>
    <n v="43200000"/>
    <n v="7776000"/>
    <b v="1"/>
    <b v="1"/>
    <n v="1"/>
    <n v="-1"/>
    <b v="1"/>
    <b v="0"/>
    <n v="50976000"/>
    <n v="7776000"/>
    <n v="24"/>
    <n v="24"/>
    <n v="1"/>
    <n v="1"/>
    <n v="0"/>
    <n v="7776000"/>
  </r>
  <r>
    <d v="2026-06-08T00:00:00"/>
    <s v="SO2606-0038"/>
    <n v="3"/>
    <s v="KH001"/>
    <s v="VT022"/>
    <s v="WH_HN"/>
    <n v="20"/>
    <n v="20"/>
    <n v="234000"/>
    <n v="0"/>
    <s v="Completed"/>
    <d v="2026-06-18T00:00:00"/>
    <d v="2026-06-20T00:00:00"/>
    <s v="NV Bình"/>
    <m/>
    <n v="402"/>
    <s v="Khách hàng 001"/>
    <x v="0"/>
    <x v="2"/>
    <s v="Active"/>
    <x v="28"/>
    <s v="CAT04"/>
    <x v="0"/>
    <n v="180000"/>
    <n v="234000"/>
    <s v="Active"/>
    <s v="A"/>
    <s v="Kho Hà Nội"/>
    <s v="Miền Bắc"/>
    <x v="3"/>
    <n v="4680000"/>
    <n v="3600000"/>
    <n v="1080000"/>
    <b v="1"/>
    <b v="1"/>
    <n v="0"/>
    <n v="2"/>
    <b v="1"/>
    <b v="0"/>
    <n v="4680000"/>
    <n v="1080000"/>
    <n v="20"/>
    <n v="20"/>
    <n v="0"/>
    <n v="1"/>
    <n v="0"/>
    <n v="1080000"/>
  </r>
  <r>
    <d v="2026-02-22T00:00:00"/>
    <s v="SO2602-0140"/>
    <n v="3"/>
    <s v="KH036"/>
    <s v="VT031"/>
    <s v="WH_DA"/>
    <n v="2"/>
    <n v="0"/>
    <n v="2304000"/>
    <n v="0"/>
    <s v="Completed"/>
    <d v="2026-02-25T00:00:00"/>
    <d v="2026-02-25T00:00:00"/>
    <s v="NV An"/>
    <m/>
    <n v="403"/>
    <s v="Khách hàng 036"/>
    <x v="0"/>
    <x v="0"/>
    <s v="Active"/>
    <x v="30"/>
    <s v="CAT01"/>
    <x v="5"/>
    <n v="1800000"/>
    <n v="2304000"/>
    <s v="Active"/>
    <s v="C"/>
    <s v="Kho Đông Anh"/>
    <s v="Miền Bắc"/>
    <x v="5"/>
    <n v="0"/>
    <n v="0"/>
    <n v="0"/>
    <b v="1"/>
    <b v="1"/>
    <n v="1"/>
    <n v="0"/>
    <b v="1"/>
    <b v="0"/>
    <n v="0"/>
    <n v="0"/>
    <n v="0"/>
    <n v="2"/>
    <n v="1"/>
    <n v="1"/>
    <n v="0"/>
    <n v="0"/>
  </r>
  <r>
    <d v="2026-03-14T00:00:00"/>
    <s v="SO2603-0052"/>
    <n v="3"/>
    <s v="KH004"/>
    <s v="VT030"/>
    <s v="WH_HN"/>
    <n v="5"/>
    <n v="3"/>
    <n v="648000"/>
    <n v="0.1"/>
    <s v="Completed"/>
    <d v="2026-03-17T00:00:00"/>
    <d v="2026-03-24T00:00:00"/>
    <s v="NV An"/>
    <m/>
    <n v="404"/>
    <s v="Khách hàng 004"/>
    <x v="0"/>
    <x v="1"/>
    <s v="Active"/>
    <x v="21"/>
    <s v="CAT06"/>
    <x v="1"/>
    <n v="480000"/>
    <n v="648000"/>
    <s v="Active"/>
    <s v="C"/>
    <s v="Kho Hà Nội"/>
    <s v="Miền Bắc"/>
    <x v="0"/>
    <n v="1749600"/>
    <n v="1440000"/>
    <n v="309600"/>
    <b v="1"/>
    <b v="1"/>
    <n v="0"/>
    <n v="7"/>
    <b v="1"/>
    <b v="0"/>
    <n v="1749600"/>
    <n v="309600"/>
    <n v="3"/>
    <n v="5"/>
    <n v="0"/>
    <n v="1"/>
    <n v="0"/>
    <n v="309600"/>
  </r>
  <r>
    <d v="2026-01-05T00:00:00"/>
    <s v="SO2601-0075"/>
    <n v="4"/>
    <s v="KH015"/>
    <s v="VT025"/>
    <s v="WH_HN"/>
    <n v="21"/>
    <n v="18"/>
    <n v="2304000"/>
    <n v="0"/>
    <s v="Completed"/>
    <d v="2026-01-07T00:00:00"/>
    <d v="2026-01-07T00:00:00"/>
    <s v="NV Dũng"/>
    <m/>
    <n v="405"/>
    <s v="Khách hàng 015"/>
    <x v="2"/>
    <x v="1"/>
    <s v="Active"/>
    <x v="10"/>
    <s v="CAT01"/>
    <x v="5"/>
    <n v="1800000"/>
    <n v="2304000"/>
    <s v="Active"/>
    <s v="B"/>
    <s v="Kho Hà Nội"/>
    <s v="Miền Bắc"/>
    <x v="2"/>
    <n v="41472000"/>
    <n v="32400000"/>
    <n v="9072000"/>
    <b v="1"/>
    <b v="1"/>
    <n v="1"/>
    <n v="0"/>
    <b v="1"/>
    <b v="0"/>
    <n v="41472000"/>
    <n v="9072000"/>
    <n v="18"/>
    <n v="21"/>
    <n v="1"/>
    <n v="1"/>
    <n v="0"/>
    <n v="9072000"/>
  </r>
  <r>
    <d v="2026-05-24T00:00:00"/>
    <s v="SO2605-0006"/>
    <n v="1"/>
    <s v="KH016"/>
    <s v="VT034"/>
    <s v="WH_DN"/>
    <n v="22"/>
    <n v="22"/>
    <n v="234000"/>
    <n v="0"/>
    <s v="Completed"/>
    <d v="2026-05-27T00:00:00"/>
    <d v="2026-05-30T00:00:00"/>
    <s v="NV Chi"/>
    <m/>
    <n v="406"/>
    <s v="Khách hàng 016"/>
    <x v="0"/>
    <x v="1"/>
    <s v="Active"/>
    <x v="22"/>
    <s v="CAT04"/>
    <x v="0"/>
    <n v="180000"/>
    <n v="234000"/>
    <s v="Active"/>
    <s v="A"/>
    <s v="Kho Đà Nẵng"/>
    <s v="Miền Trung"/>
    <x v="1"/>
    <n v="5148000"/>
    <n v="3960000"/>
    <n v="1188000"/>
    <b v="1"/>
    <b v="1"/>
    <n v="0"/>
    <n v="3"/>
    <b v="1"/>
    <b v="0"/>
    <n v="5148000"/>
    <n v="1188000"/>
    <n v="22"/>
    <n v="22"/>
    <n v="0"/>
    <n v="1"/>
    <n v="0"/>
    <n v="1188000"/>
  </r>
  <r>
    <d v="2026-04-01T00:00:00"/>
    <s v="SO2604-0078"/>
    <n v="2"/>
    <s v="KH033"/>
    <s v="VT018"/>
    <s v="WH_HN"/>
    <n v="17"/>
    <n v="0"/>
    <n v="648000"/>
    <n v="0"/>
    <s v="Cancelled"/>
    <d v="2026-04-08T00:00:00"/>
    <m/>
    <s v="NV Chi"/>
    <m/>
    <n v="407"/>
    <s v="Khách hàng 033"/>
    <x v="1"/>
    <x v="1"/>
    <s v="Active"/>
    <x v="6"/>
    <s v="CAT06"/>
    <x v="1"/>
    <n v="480000"/>
    <n v="648000"/>
    <s v="Active"/>
    <s v="A"/>
    <s v="Kho Hà Nội"/>
    <s v="Miền Bắc"/>
    <x v="4"/>
    <n v="0"/>
    <m/>
    <n v="0"/>
    <b v="1"/>
    <b v="0"/>
    <m/>
    <m/>
    <b v="0"/>
    <b v="0"/>
    <n v="0"/>
    <n v="0"/>
    <n v="0"/>
    <n v="0"/>
    <n v="0"/>
    <n v="0"/>
    <n v="0"/>
    <n v="0"/>
  </r>
  <r>
    <d v="2026-02-27T00:00:00"/>
    <s v="SO2602-0039"/>
    <n v="3"/>
    <s v="KH026"/>
    <s v="VT009"/>
    <s v="WH_HN"/>
    <n v="25"/>
    <n v="22"/>
    <n v="566000"/>
    <n v="0.1"/>
    <s v="Completed"/>
    <d v="2026-03-09T00:00:00"/>
    <d v="2026-03-09T00:00:00"/>
    <s v="NV Dũng"/>
    <m/>
    <n v="408"/>
    <s v="Khách hàng 026"/>
    <x v="2"/>
    <x v="1"/>
    <s v="Active"/>
    <x v="35"/>
    <s v="CAT03"/>
    <x v="4"/>
    <n v="480000"/>
    <n v="566000"/>
    <s v="Active"/>
    <s v="A"/>
    <s v="Kho Hà Nội"/>
    <s v="Miền Bắc"/>
    <x v="5"/>
    <n v="11206800"/>
    <n v="10560000"/>
    <n v="646800"/>
    <b v="1"/>
    <b v="1"/>
    <n v="1"/>
    <n v="0"/>
    <b v="1"/>
    <b v="0"/>
    <n v="11206800"/>
    <n v="646800"/>
    <n v="22"/>
    <n v="25"/>
    <n v="1"/>
    <n v="1"/>
    <n v="0"/>
    <n v="646800"/>
  </r>
  <r>
    <d v="2026-03-03T00:00:00"/>
    <s v="SO2603-0040"/>
    <n v="4"/>
    <s v="KH020"/>
    <s v="VT022"/>
    <s v="WH_HCM"/>
    <n v="35"/>
    <n v="35"/>
    <n v="234000"/>
    <n v="0.08"/>
    <s v="Completed"/>
    <d v="2026-03-10T00:00:00"/>
    <d v="2026-03-13T00:00:00"/>
    <s v="NV Bình"/>
    <m/>
    <n v="409"/>
    <s v="Khách hàng 020"/>
    <x v="1"/>
    <x v="0"/>
    <s v="Active"/>
    <x v="28"/>
    <s v="CAT04"/>
    <x v="0"/>
    <n v="180000"/>
    <n v="234000"/>
    <s v="Active"/>
    <s v="A"/>
    <s v="Kho HCM"/>
    <s v="Miền Nam"/>
    <x v="0"/>
    <n v="7534800"/>
    <n v="6300000"/>
    <n v="1234800"/>
    <b v="1"/>
    <b v="1"/>
    <n v="0"/>
    <n v="3"/>
    <b v="1"/>
    <b v="0"/>
    <n v="7534800"/>
    <n v="1234800"/>
    <n v="35"/>
    <n v="35"/>
    <n v="0"/>
    <n v="1"/>
    <n v="0"/>
    <n v="1234800"/>
  </r>
  <r>
    <d v="2026-02-05T00:00:00"/>
    <s v="SO2602-0080"/>
    <n v="2"/>
    <s v="KH028"/>
    <s v="VT010"/>
    <s v="WH_DA"/>
    <n v="21"/>
    <n v="18"/>
    <n v="1170000"/>
    <n v="0"/>
    <s v="Completed"/>
    <d v="2026-02-07T00:00:00"/>
    <d v="2026-02-07T00:00:00"/>
    <s v="NV Bình"/>
    <m/>
    <n v="410"/>
    <s v="Khách hàng 028"/>
    <x v="1"/>
    <x v="1"/>
    <s v="Active"/>
    <x v="0"/>
    <s v="CAT04"/>
    <x v="0"/>
    <n v="900000"/>
    <n v="1170000"/>
    <s v="Active"/>
    <s v="A"/>
    <s v="Kho Đông Anh"/>
    <s v="Miền Bắc"/>
    <x v="5"/>
    <n v="21060000"/>
    <n v="16200000"/>
    <n v="4860000"/>
    <b v="1"/>
    <b v="1"/>
    <n v="1"/>
    <n v="0"/>
    <b v="1"/>
    <b v="0"/>
    <n v="21060000"/>
    <n v="4860000"/>
    <n v="18"/>
    <n v="21"/>
    <n v="1"/>
    <n v="1"/>
    <n v="0"/>
    <n v="4860000"/>
  </r>
  <r>
    <d v="2026-01-08T00:00:00"/>
    <s v="SO2601-0082"/>
    <n v="4"/>
    <s v="KH027"/>
    <s v="VT020"/>
    <s v="WH_HCM"/>
    <n v="18"/>
    <n v="18"/>
    <n v="793000"/>
    <n v="0"/>
    <s v="Completed"/>
    <d v="2026-01-10T00:00:00"/>
    <d v="2026-01-09T00:00:00"/>
    <s v="NV Chi"/>
    <m/>
    <n v="411"/>
    <s v="Khách hàng 027"/>
    <x v="2"/>
    <x v="0"/>
    <s v="Active"/>
    <x v="36"/>
    <s v="CAT02"/>
    <x v="3"/>
    <n v="650000"/>
    <n v="793000"/>
    <s v="Active"/>
    <s v="B"/>
    <s v="Kho HCM"/>
    <s v="Miền Nam"/>
    <x v="2"/>
    <n v="14274000"/>
    <n v="11700000"/>
    <n v="2574000"/>
    <b v="1"/>
    <b v="1"/>
    <n v="1"/>
    <n v="-1"/>
    <b v="1"/>
    <b v="0"/>
    <n v="14274000"/>
    <n v="2574000"/>
    <n v="18"/>
    <n v="18"/>
    <n v="1"/>
    <n v="1"/>
    <n v="0"/>
    <n v="2574000"/>
  </r>
  <r>
    <d v="2026-06-05T00:00:00"/>
    <s v="SO2606-0060"/>
    <n v="2"/>
    <s v="KH015"/>
    <s v="VT002"/>
    <s v="WH_DN"/>
    <n v="6"/>
    <n v="6"/>
    <n v="427000"/>
    <n v="0.08"/>
    <s v="Completed"/>
    <d v="2026-06-12T00:00:00"/>
    <d v="2026-06-13T00:00:00"/>
    <s v="NV Chi"/>
    <m/>
    <n v="412"/>
    <s v="Khách hàng 015"/>
    <x v="2"/>
    <x v="1"/>
    <s v="Active"/>
    <x v="4"/>
    <s v="CAT02"/>
    <x v="3"/>
    <n v="350000"/>
    <n v="427000"/>
    <s v="Active"/>
    <s v="C"/>
    <s v="Kho Đà Nẵng"/>
    <s v="Miền Trung"/>
    <x v="3"/>
    <n v="2357040"/>
    <n v="2100000"/>
    <n v="257040"/>
    <b v="1"/>
    <b v="1"/>
    <n v="0"/>
    <n v="1"/>
    <b v="1"/>
    <b v="0"/>
    <n v="2357040"/>
    <n v="257040"/>
    <n v="6"/>
    <n v="6"/>
    <n v="0"/>
    <n v="1"/>
    <n v="0"/>
    <n v="257040"/>
  </r>
  <r>
    <d v="2026-02-17T00:00:00"/>
    <s v="SO2602-0100"/>
    <n v="4"/>
    <s v="KH031"/>
    <s v="VT009"/>
    <s v="WH_DA"/>
    <n v="13"/>
    <n v="13"/>
    <n v="566000"/>
    <n v="0.02"/>
    <s v="Completed"/>
    <d v="2026-02-22T00:00:00"/>
    <d v="2026-02-22T00:00:00"/>
    <s v="NV Bình"/>
    <m/>
    <n v="413"/>
    <s v="Khách hàng 031"/>
    <x v="0"/>
    <x v="1"/>
    <s v="Inactive"/>
    <x v="35"/>
    <s v="CAT03"/>
    <x v="4"/>
    <n v="480000"/>
    <n v="566000"/>
    <s v="Active"/>
    <s v="A"/>
    <s v="Kho Đông Anh"/>
    <s v="Miền Bắc"/>
    <x v="5"/>
    <n v="7210840"/>
    <n v="6240000"/>
    <n v="970840"/>
    <b v="1"/>
    <b v="1"/>
    <n v="1"/>
    <n v="0"/>
    <b v="1"/>
    <b v="0"/>
    <n v="7210840"/>
    <n v="970840"/>
    <n v="13"/>
    <n v="13"/>
    <n v="1"/>
    <n v="1"/>
    <n v="0"/>
    <n v="970840"/>
  </r>
  <r>
    <d v="2026-02-22T00:00:00"/>
    <s v="SO2602-0017"/>
    <n v="2"/>
    <s v="KH029"/>
    <s v="VT032"/>
    <s v="WH_DN"/>
    <n v="30"/>
    <n v="0"/>
    <n v="1098000"/>
    <n v="0.05"/>
    <s v="Cancelled"/>
    <d v="2026-02-27T00:00:00"/>
    <m/>
    <s v="NV An"/>
    <m/>
    <n v="414"/>
    <s v="Khách hàng 029"/>
    <x v="1"/>
    <x v="3"/>
    <s v="Active"/>
    <x v="17"/>
    <s v="CAT02"/>
    <x v="3"/>
    <n v="900000"/>
    <n v="1098000"/>
    <s v="Active"/>
    <s v="B"/>
    <s v="Kho Đà Nẵng"/>
    <s v="Miền Trung"/>
    <x v="5"/>
    <n v="0"/>
    <m/>
    <n v="0"/>
    <b v="1"/>
    <b v="0"/>
    <m/>
    <m/>
    <b v="0"/>
    <b v="0"/>
    <n v="0"/>
    <n v="0"/>
    <n v="0"/>
    <n v="0"/>
    <n v="0"/>
    <n v="0"/>
    <n v="0"/>
    <n v="0"/>
  </r>
  <r>
    <d v="2026-06-05T00:00:00"/>
    <s v="SO2606-0098"/>
    <n v="3"/>
    <s v="KH026"/>
    <s v="VT035"/>
    <s v="WH_HN"/>
    <n v="34"/>
    <n v="34"/>
    <n v="312000"/>
    <n v="0"/>
    <s v="Completed"/>
    <d v="2026-06-12T00:00:00"/>
    <d v="2026-06-14T00:00:00"/>
    <s v="NV Dũng"/>
    <m/>
    <n v="415"/>
    <s v="Khách hàng 026"/>
    <x v="2"/>
    <x v="1"/>
    <s v="Active"/>
    <x v="18"/>
    <s v="CAT05"/>
    <x v="2"/>
    <n v="250000"/>
    <n v="312000"/>
    <s v="Discontinued"/>
    <s v="C"/>
    <s v="Kho Hà Nội"/>
    <s v="Miền Bắc"/>
    <x v="3"/>
    <n v="10608000"/>
    <n v="8500000"/>
    <n v="2108000"/>
    <b v="1"/>
    <b v="1"/>
    <n v="0"/>
    <n v="2"/>
    <b v="1"/>
    <b v="0"/>
    <n v="10608000"/>
    <n v="2108000"/>
    <n v="34"/>
    <n v="34"/>
    <n v="0"/>
    <n v="1"/>
    <n v="0"/>
    <n v="2108000"/>
  </r>
  <r>
    <d v="2026-01-11T00:00:00"/>
    <s v="SO2601-0143"/>
    <n v="4"/>
    <s v="KH034"/>
    <s v="VT004"/>
    <s v="WH_DA"/>
    <n v="19"/>
    <n v="19"/>
    <n v="234000"/>
    <n v="0.05"/>
    <s v="Completed"/>
    <d v="2026-01-13T00:00:00"/>
    <d v="2026-01-14T00:00:00"/>
    <s v="NV Chi"/>
    <m/>
    <n v="416"/>
    <s v="Khách hàng 034"/>
    <x v="1"/>
    <x v="0"/>
    <s v="Active"/>
    <x v="23"/>
    <s v="CAT04"/>
    <x v="0"/>
    <n v="180000"/>
    <n v="234000"/>
    <s v="Active"/>
    <s v="A"/>
    <s v="Kho Đông Anh"/>
    <s v="Miền Bắc"/>
    <x v="2"/>
    <n v="4223700"/>
    <n v="3420000"/>
    <n v="803700"/>
    <b v="1"/>
    <b v="1"/>
    <n v="0"/>
    <n v="1"/>
    <b v="1"/>
    <b v="0"/>
    <n v="4223700"/>
    <n v="803700"/>
    <n v="19"/>
    <n v="19"/>
    <n v="0"/>
    <n v="1"/>
    <n v="0"/>
    <n v="803700"/>
  </r>
  <r>
    <d v="2026-06-06T00:00:00"/>
    <s v="SO2606-0014"/>
    <n v="2"/>
    <s v="KH030"/>
    <s v="VT029"/>
    <s v="WH_HN"/>
    <n v="33"/>
    <n v="30"/>
    <n v="1125000"/>
    <n v="0.08"/>
    <s v="Completed"/>
    <d v="2026-06-08T00:00:00"/>
    <d v="2026-06-09T00:00:00"/>
    <s v="NV Dũng"/>
    <m/>
    <n v="417"/>
    <s v="Khách hàng 030"/>
    <x v="2"/>
    <x v="1"/>
    <s v="Active"/>
    <x v="15"/>
    <s v="CAT05"/>
    <x v="2"/>
    <n v="900000"/>
    <n v="1125000"/>
    <s v="Active"/>
    <s v="A"/>
    <s v="Kho Hà Nội"/>
    <s v="Miền Bắc"/>
    <x v="3"/>
    <n v="31050000"/>
    <n v="27000000"/>
    <n v="4050000"/>
    <b v="1"/>
    <b v="1"/>
    <n v="0"/>
    <n v="1"/>
    <b v="1"/>
    <b v="0"/>
    <n v="31050000"/>
    <n v="4050000"/>
    <n v="30"/>
    <n v="33"/>
    <n v="0"/>
    <n v="1"/>
    <n v="0"/>
    <n v="4050000"/>
  </r>
  <r>
    <d v="2026-03-24T00:00:00"/>
    <s v="SO2603-0116"/>
    <n v="1"/>
    <s v="KH012"/>
    <s v="VT030"/>
    <s v="WH_DA"/>
    <n v="30"/>
    <n v="28"/>
    <n v="648000"/>
    <n v="0.1"/>
    <s v="Completed"/>
    <d v="2026-04-03T00:00:00"/>
    <d v="2026-04-10T00:00:00"/>
    <s v="NV Bình"/>
    <m/>
    <n v="418"/>
    <s v="Khách hàng 012"/>
    <x v="1"/>
    <x v="0"/>
    <s v="Active"/>
    <x v="21"/>
    <s v="CAT06"/>
    <x v="1"/>
    <n v="480000"/>
    <n v="648000"/>
    <s v="Active"/>
    <s v="C"/>
    <s v="Kho Đông Anh"/>
    <s v="Miền Bắc"/>
    <x v="0"/>
    <n v="16329600"/>
    <n v="13440000"/>
    <n v="2889600"/>
    <b v="1"/>
    <b v="1"/>
    <n v="0"/>
    <n v="7"/>
    <b v="1"/>
    <b v="0"/>
    <n v="16329600"/>
    <n v="2889600"/>
    <n v="28"/>
    <n v="30"/>
    <n v="0"/>
    <n v="1"/>
    <n v="0"/>
    <n v="2889600"/>
  </r>
  <r>
    <d v="2026-02-01T00:00:00"/>
    <s v="SO2602-0024"/>
    <n v="1"/>
    <s v="KH029"/>
    <s v="VT024"/>
    <s v="WH_HN"/>
    <n v="34"/>
    <n v="32"/>
    <n v="1620000"/>
    <n v="0.08"/>
    <s v="Open"/>
    <d v="2026-02-03T00:00:00"/>
    <m/>
    <s v="NV Dũng"/>
    <m/>
    <n v="419"/>
    <s v="Khách hàng 029"/>
    <x v="1"/>
    <x v="3"/>
    <s v="Active"/>
    <x v="26"/>
    <s v="CAT06"/>
    <x v="1"/>
    <n v="1200000"/>
    <n v="1620000"/>
    <s v="Active"/>
    <s v="C"/>
    <s v="Kho Hà Nội"/>
    <s v="Miền Bắc"/>
    <x v="5"/>
    <n v="47692800"/>
    <n v="38400000"/>
    <n v="9292800"/>
    <b v="1"/>
    <b v="0"/>
    <m/>
    <m/>
    <b v="1"/>
    <b v="0"/>
    <n v="47692800"/>
    <n v="9292800"/>
    <n v="32"/>
    <n v="34"/>
    <n v="0"/>
    <n v="0"/>
    <n v="0"/>
    <n v="9292800"/>
  </r>
  <r>
    <d v="2026-05-21T00:00:00"/>
    <s v="SO2605-0098"/>
    <n v="1"/>
    <s v="KH011"/>
    <s v="VT022"/>
    <s v="WH_DA"/>
    <n v="11"/>
    <n v="0"/>
    <n v="234000"/>
    <n v="0"/>
    <s v="Cancelled"/>
    <d v="2026-05-31T00:00:00"/>
    <m/>
    <s v="NV An"/>
    <m/>
    <n v="420"/>
    <s v="Khách hàng 011"/>
    <x v="0"/>
    <x v="2"/>
    <s v="Active"/>
    <x v="28"/>
    <s v="CAT04"/>
    <x v="0"/>
    <n v="180000"/>
    <n v="234000"/>
    <s v="Active"/>
    <s v="A"/>
    <s v="Kho Đông Anh"/>
    <s v="Miền Bắc"/>
    <x v="1"/>
    <n v="0"/>
    <m/>
    <n v="0"/>
    <b v="1"/>
    <b v="0"/>
    <m/>
    <m/>
    <b v="0"/>
    <b v="0"/>
    <n v="0"/>
    <n v="0"/>
    <n v="0"/>
    <n v="0"/>
    <n v="0"/>
    <n v="0"/>
    <n v="0"/>
    <n v="0"/>
  </r>
  <r>
    <d v="2026-04-18T00:00:00"/>
    <s v="SO2604-0079"/>
    <n v="3"/>
    <s v="KH029"/>
    <s v="VT019"/>
    <s v="WH_DA"/>
    <n v="8"/>
    <n v="0"/>
    <n v="1152000"/>
    <n v="0"/>
    <s v="Cancelled"/>
    <d v="2026-04-19T00:00:00"/>
    <m/>
    <s v="NV Chi"/>
    <m/>
    <n v="421"/>
    <s v="Khách hàng 029"/>
    <x v="1"/>
    <x v="3"/>
    <s v="Active"/>
    <x v="27"/>
    <s v="CAT01"/>
    <x v="5"/>
    <n v="900000"/>
    <n v="1152000"/>
    <s v="Active"/>
    <s v="C"/>
    <s v="Kho Đông Anh"/>
    <s v="Miền Bắc"/>
    <x v="4"/>
    <n v="0"/>
    <m/>
    <n v="0"/>
    <b v="1"/>
    <b v="0"/>
    <m/>
    <m/>
    <b v="0"/>
    <b v="0"/>
    <n v="0"/>
    <n v="0"/>
    <n v="0"/>
    <n v="0"/>
    <n v="0"/>
    <n v="0"/>
    <n v="0"/>
    <n v="0"/>
  </r>
  <r>
    <d v="2026-01-04T00:00:00"/>
    <s v="SO2601-0118"/>
    <n v="4"/>
    <s v="KH032"/>
    <s v="VT035"/>
    <s v="WH_HN"/>
    <n v="32"/>
    <n v="29"/>
    <n v="312000"/>
    <n v="0.05"/>
    <s v="Completed"/>
    <d v="2026-01-09T00:00:00"/>
    <d v="2026-01-10T00:00:00"/>
    <s v="NV Dũng"/>
    <m/>
    <n v="422"/>
    <s v="Khách hàng 032"/>
    <x v="2"/>
    <x v="3"/>
    <s v="Active"/>
    <x v="18"/>
    <s v="CAT05"/>
    <x v="2"/>
    <n v="250000"/>
    <n v="312000"/>
    <s v="Discontinued"/>
    <s v="C"/>
    <s v="Kho Hà Nội"/>
    <s v="Miền Bắc"/>
    <x v="2"/>
    <n v="8595600"/>
    <n v="7250000"/>
    <n v="1345600"/>
    <b v="1"/>
    <b v="1"/>
    <n v="0"/>
    <n v="1"/>
    <b v="1"/>
    <b v="0"/>
    <n v="8595600"/>
    <n v="1345600"/>
    <n v="29"/>
    <n v="32"/>
    <n v="0"/>
    <n v="1"/>
    <n v="0"/>
    <n v="1345600"/>
  </r>
  <r>
    <d v="2026-01-21T00:00:00"/>
    <s v="SO2601-0002"/>
    <n v="2"/>
    <s v="KH036"/>
    <s v="VT018"/>
    <s v="WH_DA"/>
    <n v="4"/>
    <n v="3"/>
    <n v="648000"/>
    <n v="0.02"/>
    <s v="Completed"/>
    <d v="2026-01-22T00:00:00"/>
    <d v="2026-01-22T00:00:00"/>
    <s v="NV An"/>
    <m/>
    <n v="423"/>
    <s v="Khách hàng 036"/>
    <x v="0"/>
    <x v="0"/>
    <s v="Active"/>
    <x v="6"/>
    <s v="CAT06"/>
    <x v="1"/>
    <n v="480000"/>
    <n v="648000"/>
    <s v="Active"/>
    <s v="A"/>
    <s v="Kho Đông Anh"/>
    <s v="Miền Bắc"/>
    <x v="2"/>
    <n v="1905120"/>
    <n v="1440000"/>
    <n v="465120"/>
    <b v="1"/>
    <b v="1"/>
    <n v="1"/>
    <n v="0"/>
    <b v="1"/>
    <b v="0"/>
    <n v="1905120"/>
    <n v="465120"/>
    <n v="3"/>
    <n v="4"/>
    <n v="1"/>
    <n v="1"/>
    <n v="0"/>
    <n v="465120"/>
  </r>
  <r>
    <d v="2026-06-20T00:00:00"/>
    <s v="SO2606-0077"/>
    <n v="3"/>
    <s v="KH006"/>
    <s v="VT004"/>
    <s v="WH_HN"/>
    <n v="-3"/>
    <n v="-3"/>
    <n v="234000"/>
    <n v="0.1"/>
    <s v="Return"/>
    <d v="2026-06-23T00:00:00"/>
    <d v="2026-06-25T00:00:00"/>
    <s v="NV Bình"/>
    <m/>
    <n v="424"/>
    <s v="Khách hàng 006"/>
    <x v="2"/>
    <x v="0"/>
    <s v="Active"/>
    <x v="23"/>
    <s v="CAT04"/>
    <x v="0"/>
    <n v="180000"/>
    <n v="234000"/>
    <s v="Active"/>
    <s v="A"/>
    <s v="Kho Hà Nội"/>
    <s v="Miền Bắc"/>
    <x v="3"/>
    <n v="-631800"/>
    <n v="-540000"/>
    <n v="-91800"/>
    <b v="1"/>
    <b v="1"/>
    <n v="0"/>
    <n v="2"/>
    <b v="0"/>
    <b v="1"/>
    <n v="-631800"/>
    <n v="-91800"/>
    <n v="0"/>
    <n v="0"/>
    <n v="0"/>
    <n v="1"/>
    <n v="-631800"/>
    <n v="-91800"/>
  </r>
  <r>
    <d v="2026-04-27T00:00:00"/>
    <s v="SO2604-0093"/>
    <n v="1"/>
    <s v="KH006"/>
    <s v="VT020"/>
    <s v="WH_DN"/>
    <n v="24"/>
    <n v="0"/>
    <n v="793000"/>
    <n v="0"/>
    <s v="Cancelled"/>
    <d v="2026-05-02T00:00:00"/>
    <m/>
    <s v="NV An"/>
    <m/>
    <n v="425"/>
    <s v="Khách hàng 006"/>
    <x v="2"/>
    <x v="0"/>
    <s v="Active"/>
    <x v="36"/>
    <s v="CAT02"/>
    <x v="3"/>
    <n v="650000"/>
    <n v="793000"/>
    <s v="Active"/>
    <s v="B"/>
    <s v="Kho Đà Nẵng"/>
    <s v="Miền Trung"/>
    <x v="4"/>
    <n v="0"/>
    <m/>
    <n v="0"/>
    <b v="1"/>
    <b v="0"/>
    <m/>
    <m/>
    <b v="0"/>
    <b v="0"/>
    <n v="0"/>
    <n v="0"/>
    <n v="0"/>
    <n v="0"/>
    <n v="0"/>
    <n v="0"/>
    <n v="0"/>
    <n v="0"/>
  </r>
  <r>
    <d v="2026-03-16T00:00:00"/>
    <s v="SO2603-0121"/>
    <n v="2"/>
    <s v="KH008"/>
    <s v="VT018"/>
    <s v="WH_DN"/>
    <n v="34"/>
    <n v="33"/>
    <n v="648000"/>
    <n v="0"/>
    <s v="Completed"/>
    <d v="2026-03-23T00:00:00"/>
    <d v="2026-03-22T00:00:00"/>
    <s v="NV An"/>
    <m/>
    <n v="426"/>
    <s v="Khách hàng 008"/>
    <x v="1"/>
    <x v="2"/>
    <s v="Active"/>
    <x v="6"/>
    <s v="CAT06"/>
    <x v="1"/>
    <n v="480000"/>
    <n v="648000"/>
    <s v="Active"/>
    <s v="A"/>
    <s v="Kho Đà Nẵng"/>
    <s v="Miền Trung"/>
    <x v="0"/>
    <n v="21384000"/>
    <n v="15840000"/>
    <n v="5544000"/>
    <b v="1"/>
    <b v="1"/>
    <n v="1"/>
    <n v="-1"/>
    <b v="1"/>
    <b v="0"/>
    <n v="21384000"/>
    <n v="5544000"/>
    <n v="33"/>
    <n v="34"/>
    <n v="1"/>
    <n v="1"/>
    <n v="0"/>
    <n v="5544000"/>
  </r>
  <r>
    <d v="2026-05-27T00:00:00"/>
    <s v="SO2605-0136"/>
    <n v="1"/>
    <s v="KH031"/>
    <s v="VT019"/>
    <s v="WH_HCM"/>
    <n v="21"/>
    <n v="18"/>
    <n v="1152000"/>
    <n v="0.02"/>
    <s v="Completed"/>
    <d v="2026-05-29T00:00:00"/>
    <d v="2026-05-31T00:00:00"/>
    <s v="NV Dũng"/>
    <m/>
    <n v="427"/>
    <s v="Khách hàng 031"/>
    <x v="0"/>
    <x v="1"/>
    <s v="Inactive"/>
    <x v="27"/>
    <s v="CAT01"/>
    <x v="5"/>
    <n v="900000"/>
    <n v="1152000"/>
    <s v="Active"/>
    <s v="C"/>
    <s v="Kho HCM"/>
    <s v="Miền Nam"/>
    <x v="1"/>
    <n v="20321280"/>
    <n v="16200000"/>
    <n v="4121280"/>
    <b v="1"/>
    <b v="1"/>
    <n v="0"/>
    <n v="2"/>
    <b v="1"/>
    <b v="0"/>
    <n v="20321280"/>
    <n v="4121280"/>
    <n v="18"/>
    <n v="21"/>
    <n v="0"/>
    <n v="1"/>
    <n v="0"/>
    <n v="4121280"/>
  </r>
  <r>
    <d v="2026-05-14T00:00:00"/>
    <s v="SO2605-0128"/>
    <n v="4"/>
    <s v="KH012"/>
    <s v="VT015"/>
    <s v="WH_DN"/>
    <n v="13"/>
    <n v="13"/>
    <n v="2124000"/>
    <n v="0.1"/>
    <s v="Completed"/>
    <d v="2026-05-15T00:00:00"/>
    <d v="2026-05-18T00:00:00"/>
    <s v="NV Bình"/>
    <m/>
    <n v="428"/>
    <s v="Khách hàng 012"/>
    <x v="1"/>
    <x v="0"/>
    <s v="Active"/>
    <x v="20"/>
    <s v="CAT03"/>
    <x v="4"/>
    <n v="1800000"/>
    <n v="2124000"/>
    <s v="Active"/>
    <s v="C"/>
    <s v="Kho Đà Nẵng"/>
    <s v="Miền Trung"/>
    <x v="1"/>
    <n v="24850800"/>
    <n v="23400000"/>
    <n v="1450800"/>
    <b v="1"/>
    <b v="1"/>
    <n v="0"/>
    <n v="3"/>
    <b v="1"/>
    <b v="0"/>
    <n v="24850800"/>
    <n v="1450800"/>
    <n v="13"/>
    <n v="13"/>
    <n v="0"/>
    <n v="1"/>
    <n v="0"/>
    <n v="1450800"/>
  </r>
  <r>
    <d v="2026-06-07T00:00:00"/>
    <s v="SO2606-0107"/>
    <n v="4"/>
    <s v="KH003"/>
    <s v="VT022"/>
    <s v="WH_DN"/>
    <n v="14"/>
    <n v="13"/>
    <n v="234000"/>
    <n v="0.02"/>
    <s v="Completed"/>
    <d v="2026-06-10T00:00:00"/>
    <d v="2026-06-17T00:00:00"/>
    <s v="NV An"/>
    <m/>
    <n v="429"/>
    <s v="Khách hàng 003"/>
    <x v="2"/>
    <x v="2"/>
    <s v="Active"/>
    <x v="28"/>
    <s v="CAT04"/>
    <x v="0"/>
    <n v="180000"/>
    <n v="234000"/>
    <s v="Active"/>
    <s v="A"/>
    <s v="Kho Đà Nẵng"/>
    <s v="Miền Trung"/>
    <x v="3"/>
    <n v="2981160"/>
    <n v="2340000"/>
    <n v="641160"/>
    <b v="1"/>
    <b v="1"/>
    <n v="0"/>
    <n v="7"/>
    <b v="1"/>
    <b v="0"/>
    <n v="2981160"/>
    <n v="641160"/>
    <n v="13"/>
    <n v="14"/>
    <n v="0"/>
    <n v="1"/>
    <n v="0"/>
    <n v="641160"/>
  </r>
  <r>
    <d v="2026-03-20T00:00:00"/>
    <s v="SO2603-0077"/>
    <n v="3"/>
    <s v="KH001"/>
    <s v="VT008"/>
    <s v="WH_DN"/>
    <n v="22"/>
    <n v="19"/>
    <n v="2196000"/>
    <n v="0"/>
    <s v="Completed"/>
    <d v="2026-03-22T00:00:00"/>
    <d v="2026-03-22T00:00:00"/>
    <s v="NV Chi"/>
    <m/>
    <n v="430"/>
    <s v="Khách hàng 001"/>
    <x v="0"/>
    <x v="2"/>
    <s v="Active"/>
    <x v="24"/>
    <s v="CAT02"/>
    <x v="3"/>
    <n v="1800000"/>
    <n v="2196000"/>
    <s v="Active"/>
    <s v="B"/>
    <s v="Kho Đà Nẵng"/>
    <s v="Miền Trung"/>
    <x v="0"/>
    <n v="41724000"/>
    <n v="34200000"/>
    <n v="7524000"/>
    <b v="1"/>
    <b v="1"/>
    <n v="1"/>
    <n v="0"/>
    <b v="1"/>
    <b v="0"/>
    <n v="41724000"/>
    <n v="7524000"/>
    <n v="19"/>
    <n v="22"/>
    <n v="1"/>
    <n v="1"/>
    <n v="0"/>
    <n v="7524000"/>
  </r>
  <r>
    <d v="2026-03-28T00:00:00"/>
    <s v="SO2603-0123"/>
    <n v="4"/>
    <s v="KH003"/>
    <s v="VT009"/>
    <s v="WH_HCM"/>
    <n v="10"/>
    <n v="10"/>
    <n v="566000"/>
    <n v="0.05"/>
    <s v="Completed"/>
    <d v="2026-04-02T00:00:00"/>
    <d v="2026-04-05T00:00:00"/>
    <s v="NV An"/>
    <m/>
    <n v="431"/>
    <s v="Khách hàng 003"/>
    <x v="2"/>
    <x v="2"/>
    <s v="Active"/>
    <x v="35"/>
    <s v="CAT03"/>
    <x v="4"/>
    <n v="480000"/>
    <n v="566000"/>
    <s v="Active"/>
    <s v="A"/>
    <s v="Kho HCM"/>
    <s v="Miền Nam"/>
    <x v="0"/>
    <n v="5377000"/>
    <n v="4800000"/>
    <n v="577000"/>
    <b v="1"/>
    <b v="1"/>
    <n v="0"/>
    <n v="3"/>
    <b v="1"/>
    <b v="0"/>
    <n v="5377000"/>
    <n v="577000"/>
    <n v="10"/>
    <n v="10"/>
    <n v="0"/>
    <n v="1"/>
    <n v="0"/>
    <n v="577000"/>
  </r>
  <r>
    <d v="2026-05-14T00:00:00"/>
    <s v="SO2605-0077"/>
    <n v="3"/>
    <s v="KH036"/>
    <s v="VT035"/>
    <s v="WH_HN"/>
    <n v="14"/>
    <n v="14"/>
    <n v="312000"/>
    <n v="0"/>
    <s v="Completed"/>
    <d v="2026-05-16T00:00:00"/>
    <d v="2026-05-16T00:00:00"/>
    <s v="NV An"/>
    <m/>
    <n v="432"/>
    <s v="Khách hàng 036"/>
    <x v="0"/>
    <x v="0"/>
    <s v="Active"/>
    <x v="18"/>
    <s v="CAT05"/>
    <x v="2"/>
    <n v="250000"/>
    <n v="312000"/>
    <s v="Discontinued"/>
    <s v="C"/>
    <s v="Kho Hà Nội"/>
    <s v="Miền Bắc"/>
    <x v="1"/>
    <n v="4368000"/>
    <n v="3500000"/>
    <n v="868000"/>
    <b v="1"/>
    <b v="1"/>
    <n v="1"/>
    <n v="0"/>
    <b v="1"/>
    <b v="0"/>
    <n v="4368000"/>
    <n v="868000"/>
    <n v="14"/>
    <n v="14"/>
    <n v="1"/>
    <n v="1"/>
    <n v="0"/>
    <n v="868000"/>
  </r>
  <r>
    <d v="2026-03-28T00:00:00"/>
    <s v="SO2603-0097"/>
    <n v="2"/>
    <s v="KH037"/>
    <s v="VT025"/>
    <s v="WH_DA"/>
    <n v="8"/>
    <n v="0"/>
    <n v="2304000"/>
    <n v="0.02"/>
    <s v="Cancelled"/>
    <d v="2026-04-07T00:00:00"/>
    <m/>
    <s v="NV Chi"/>
    <m/>
    <n v="433"/>
    <s v="Khách hàng 037"/>
    <x v="0"/>
    <x v="0"/>
    <s v="Active"/>
    <x v="10"/>
    <s v="CAT01"/>
    <x v="5"/>
    <n v="1800000"/>
    <n v="2304000"/>
    <s v="Active"/>
    <s v="B"/>
    <s v="Kho Đông Anh"/>
    <s v="Miền Bắc"/>
    <x v="0"/>
    <n v="0"/>
    <m/>
    <n v="0"/>
    <b v="1"/>
    <b v="0"/>
    <m/>
    <m/>
    <b v="0"/>
    <b v="0"/>
    <n v="0"/>
    <n v="0"/>
    <n v="0"/>
    <n v="0"/>
    <n v="0"/>
    <n v="0"/>
    <n v="0"/>
    <n v="0"/>
  </r>
  <r>
    <d v="2026-01-09T00:00:00"/>
    <s v="SO2601-0070"/>
    <n v="4"/>
    <s v="KH006"/>
    <s v="VT032"/>
    <s v="WH_DA"/>
    <n v="24"/>
    <n v="24"/>
    <n v="1098000"/>
    <n v="0.08"/>
    <s v="Completed"/>
    <d v="2026-01-12T00:00:00"/>
    <d v="2026-01-12T00:00:00"/>
    <s v="NV An"/>
    <m/>
    <n v="434"/>
    <s v="Khách hàng 006"/>
    <x v="2"/>
    <x v="0"/>
    <s v="Active"/>
    <x v="17"/>
    <s v="CAT02"/>
    <x v="3"/>
    <n v="900000"/>
    <n v="1098000"/>
    <s v="Active"/>
    <s v="B"/>
    <s v="Kho Đông Anh"/>
    <s v="Miền Bắc"/>
    <x v="2"/>
    <n v="24243840"/>
    <n v="21600000"/>
    <n v="2643840"/>
    <b v="1"/>
    <b v="1"/>
    <n v="1"/>
    <n v="0"/>
    <b v="1"/>
    <b v="0"/>
    <n v="24243840"/>
    <n v="2643840"/>
    <n v="24"/>
    <n v="24"/>
    <n v="1"/>
    <n v="1"/>
    <n v="0"/>
    <n v="2643840"/>
  </r>
  <r>
    <d v="2026-04-06T00:00:00"/>
    <s v="SO2604-0010"/>
    <n v="2"/>
    <s v="KH006"/>
    <s v="VT029"/>
    <s v="WH_HN"/>
    <n v="31"/>
    <n v="0"/>
    <n v="1125000"/>
    <n v="0"/>
    <s v="Cancelled"/>
    <d v="2026-04-08T00:00:00"/>
    <m/>
    <s v="NV Chi"/>
    <m/>
    <n v="435"/>
    <s v="Khách hàng 006"/>
    <x v="2"/>
    <x v="0"/>
    <s v="Active"/>
    <x v="15"/>
    <s v="CAT05"/>
    <x v="2"/>
    <n v="900000"/>
    <n v="1125000"/>
    <s v="Active"/>
    <s v="A"/>
    <s v="Kho Hà Nội"/>
    <s v="Miền Bắc"/>
    <x v="4"/>
    <n v="0"/>
    <m/>
    <n v="0"/>
    <b v="1"/>
    <b v="0"/>
    <m/>
    <m/>
    <b v="0"/>
    <b v="0"/>
    <n v="0"/>
    <n v="0"/>
    <n v="0"/>
    <n v="0"/>
    <n v="0"/>
    <n v="0"/>
    <n v="0"/>
    <n v="0"/>
  </r>
  <r>
    <d v="2026-05-04T00:00:00"/>
    <s v="SO2605-0135"/>
    <n v="3"/>
    <s v="KH021"/>
    <s v="VT010"/>
    <s v="WH_HN"/>
    <n v="34"/>
    <n v="34"/>
    <n v="1170000"/>
    <n v="0.1"/>
    <s v="Completed"/>
    <d v="2026-05-05T00:00:00"/>
    <d v="2026-05-06T00:00:00"/>
    <s v="NV Dũng"/>
    <m/>
    <n v="436"/>
    <s v="Khách hàng 021"/>
    <x v="0"/>
    <x v="3"/>
    <s v="Active"/>
    <x v="0"/>
    <s v="CAT04"/>
    <x v="0"/>
    <n v="900000"/>
    <n v="1170000"/>
    <s v="Active"/>
    <s v="A"/>
    <s v="Kho Hà Nội"/>
    <s v="Miền Bắc"/>
    <x v="1"/>
    <n v="35802000"/>
    <n v="30600000"/>
    <n v="5202000"/>
    <b v="1"/>
    <b v="1"/>
    <n v="0"/>
    <n v="1"/>
    <b v="1"/>
    <b v="0"/>
    <n v="35802000"/>
    <n v="5202000"/>
    <n v="34"/>
    <n v="34"/>
    <n v="0"/>
    <n v="1"/>
    <n v="0"/>
    <n v="5202000"/>
  </r>
  <r>
    <d v="2026-05-14T00:00:00"/>
    <s v="SO2605-0030"/>
    <n v="1"/>
    <s v="KH020"/>
    <s v="VT003"/>
    <s v="WH_HN"/>
    <n v="22"/>
    <n v="22"/>
    <n v="212000"/>
    <n v="0.08"/>
    <s v="Completed"/>
    <d v="2026-05-24T00:00:00"/>
    <d v="2026-05-27T00:00:00"/>
    <s v="NV Chi"/>
    <m/>
    <n v="437"/>
    <s v="Khách hàng 020"/>
    <x v="1"/>
    <x v="0"/>
    <s v="Active"/>
    <x v="5"/>
    <s v="CAT03"/>
    <x v="4"/>
    <n v="180000"/>
    <n v="212000"/>
    <s v="Active"/>
    <s v="C"/>
    <s v="Kho Hà Nội"/>
    <s v="Miền Bắc"/>
    <x v="1"/>
    <n v="4290880"/>
    <n v="3960000"/>
    <n v="330880"/>
    <b v="1"/>
    <b v="1"/>
    <n v="0"/>
    <n v="3"/>
    <b v="1"/>
    <b v="0"/>
    <n v="4290880"/>
    <n v="330880"/>
    <n v="22"/>
    <n v="22"/>
    <n v="0"/>
    <n v="1"/>
    <n v="0"/>
    <n v="330880"/>
  </r>
  <r>
    <d v="2026-01-06T00:00:00"/>
    <s v="SO2601-0080"/>
    <n v="2"/>
    <s v="KH021"/>
    <s v="VT013"/>
    <s v="WH_DA"/>
    <n v="19"/>
    <n v="19"/>
    <n v="614000"/>
    <n v="0.1"/>
    <s v="Completed"/>
    <d v="2026-01-07T00:00:00"/>
    <d v="2026-01-07T00:00:00"/>
    <s v="NV Bình"/>
    <m/>
    <n v="438"/>
    <s v="Khách hàng 021"/>
    <x v="0"/>
    <x v="3"/>
    <s v="Active"/>
    <x v="12"/>
    <s v="CAT01"/>
    <x v="5"/>
    <n v="480000"/>
    <n v="614000"/>
    <s v="Active"/>
    <s v="B"/>
    <s v="Kho Đông Anh"/>
    <s v="Miền Bắc"/>
    <x v="2"/>
    <n v="10499400"/>
    <n v="9120000"/>
    <n v="1379400"/>
    <b v="1"/>
    <b v="1"/>
    <n v="1"/>
    <n v="0"/>
    <b v="1"/>
    <b v="0"/>
    <n v="10499400"/>
    <n v="1379400"/>
    <n v="19"/>
    <n v="19"/>
    <n v="1"/>
    <n v="1"/>
    <n v="0"/>
    <n v="1379400"/>
  </r>
  <r>
    <d v="2026-02-10T00:00:00"/>
    <s v="SO2602-0071"/>
    <n v="1"/>
    <s v="KH001"/>
    <s v="VT036"/>
    <s v="WH_HN"/>
    <n v="14"/>
    <n v="14"/>
    <n v="243000"/>
    <n v="0.02"/>
    <s v="Completed"/>
    <d v="2026-02-12T00:00:00"/>
    <d v="2026-02-15T00:00:00"/>
    <s v="NV Chi"/>
    <m/>
    <n v="439"/>
    <s v="Khách hàng 001"/>
    <x v="0"/>
    <x v="2"/>
    <s v="Active"/>
    <x v="14"/>
    <s v="CAT06"/>
    <x v="1"/>
    <n v="180000"/>
    <n v="243000"/>
    <s v="Active"/>
    <s v="C"/>
    <s v="Kho Hà Nội"/>
    <s v="Miền Bắc"/>
    <x v="5"/>
    <n v="3333960"/>
    <n v="2520000"/>
    <n v="813960"/>
    <b v="1"/>
    <b v="1"/>
    <n v="0"/>
    <n v="3"/>
    <b v="1"/>
    <b v="0"/>
    <n v="3333960"/>
    <n v="813960"/>
    <n v="14"/>
    <n v="14"/>
    <n v="0"/>
    <n v="1"/>
    <n v="0"/>
    <n v="813960"/>
  </r>
  <r>
    <d v="2026-05-27T00:00:00"/>
    <s v="SO2605-0063"/>
    <n v="2"/>
    <s v="KH005"/>
    <s v="VT020"/>
    <s v="WH_DN"/>
    <n v="35"/>
    <n v="35"/>
    <n v="793000"/>
    <n v="0.05"/>
    <s v="Completed"/>
    <d v="2026-06-06T00:00:00"/>
    <d v="2026-06-05T00:00:00"/>
    <s v="NV An"/>
    <m/>
    <n v="440"/>
    <s v="Khách hàng 005"/>
    <x v="0"/>
    <x v="3"/>
    <s v="Active"/>
    <x v="36"/>
    <s v="CAT02"/>
    <x v="3"/>
    <n v="650000"/>
    <n v="793000"/>
    <s v="Active"/>
    <s v="B"/>
    <s v="Kho Đà Nẵng"/>
    <s v="Miền Trung"/>
    <x v="1"/>
    <n v="26367250"/>
    <n v="22750000"/>
    <n v="3617250"/>
    <b v="1"/>
    <b v="1"/>
    <n v="1"/>
    <n v="-1"/>
    <b v="1"/>
    <b v="0"/>
    <n v="26367250"/>
    <n v="3617250"/>
    <n v="35"/>
    <n v="35"/>
    <n v="1"/>
    <n v="1"/>
    <n v="0"/>
    <n v="3617250"/>
  </r>
  <r>
    <d v="2026-04-09T00:00:00"/>
    <s v="SO2604-0014"/>
    <n v="1"/>
    <s v="KH028"/>
    <s v="VT026"/>
    <s v="WH_DA"/>
    <n v="29"/>
    <n v="29"/>
    <n v="146000"/>
    <n v="0"/>
    <s v="Completed"/>
    <d v="2026-04-19T00:00:00"/>
    <d v="2026-04-26T00:00:00"/>
    <s v="NV An"/>
    <m/>
    <n v="441"/>
    <s v="Khách hàng 028"/>
    <x v="1"/>
    <x v="1"/>
    <s v="Active"/>
    <x v="29"/>
    <s v="CAT02"/>
    <x v="3"/>
    <n v="120000"/>
    <n v="146000"/>
    <s v="Active"/>
    <s v="B"/>
    <s v="Kho Đông Anh"/>
    <s v="Miền Bắc"/>
    <x v="4"/>
    <n v="4234000"/>
    <n v="3480000"/>
    <n v="754000"/>
    <b v="1"/>
    <b v="1"/>
    <n v="0"/>
    <n v="7"/>
    <b v="1"/>
    <b v="0"/>
    <n v="4234000"/>
    <n v="754000"/>
    <n v="29"/>
    <n v="29"/>
    <n v="0"/>
    <n v="1"/>
    <n v="0"/>
    <n v="754000"/>
  </r>
  <r>
    <d v="2026-04-30T00:00:00"/>
    <s v="SO2604-0034"/>
    <n v="1"/>
    <s v="KH030"/>
    <s v="VT007"/>
    <s v="WH_HCM"/>
    <n v="20"/>
    <n v="20"/>
    <n v="448000"/>
    <n v="0.05"/>
    <s v="Completed"/>
    <d v="2026-05-02T00:00:00"/>
    <d v="2026-05-02T00:00:00"/>
    <s v="NV Bình"/>
    <m/>
    <n v="442"/>
    <s v="Khách hàng 030"/>
    <x v="2"/>
    <x v="1"/>
    <s v="Active"/>
    <x v="25"/>
    <s v="CAT01"/>
    <x v="5"/>
    <n v="350000"/>
    <n v="448000"/>
    <s v="Discontinued"/>
    <s v="C"/>
    <s v="Kho HCM"/>
    <s v="Miền Nam"/>
    <x v="4"/>
    <n v="8512000"/>
    <n v="7000000"/>
    <n v="1512000"/>
    <b v="1"/>
    <b v="1"/>
    <n v="1"/>
    <n v="0"/>
    <b v="1"/>
    <b v="0"/>
    <n v="8512000"/>
    <n v="1512000"/>
    <n v="20"/>
    <n v="20"/>
    <n v="1"/>
    <n v="1"/>
    <n v="0"/>
    <n v="1512000"/>
  </r>
  <r>
    <d v="2026-06-07T00:00:00"/>
    <s v="SO2606-0067"/>
    <n v="3"/>
    <s v="KH026"/>
    <s v="VT012"/>
    <s v="WH_DN"/>
    <n v="21"/>
    <n v="21"/>
    <n v="1215000"/>
    <n v="0.05"/>
    <s v="Completed"/>
    <d v="2026-06-08T00:00:00"/>
    <d v="2026-06-08T00:00:00"/>
    <s v="NV Dũng"/>
    <m/>
    <n v="443"/>
    <s v="Khách hàng 026"/>
    <x v="2"/>
    <x v="1"/>
    <s v="Active"/>
    <x v="19"/>
    <s v="CAT06"/>
    <x v="1"/>
    <n v="900000"/>
    <n v="1215000"/>
    <s v="Active"/>
    <s v="B"/>
    <s v="Kho Đà Nẵng"/>
    <s v="Miền Trung"/>
    <x v="3"/>
    <n v="24239250"/>
    <n v="18900000"/>
    <n v="5339250"/>
    <b v="1"/>
    <b v="1"/>
    <n v="1"/>
    <n v="0"/>
    <b v="1"/>
    <b v="0"/>
    <n v="24239250"/>
    <n v="5339250"/>
    <n v="21"/>
    <n v="21"/>
    <n v="1"/>
    <n v="1"/>
    <n v="0"/>
    <n v="5339250"/>
  </r>
  <r>
    <d v="2026-04-29T00:00:00"/>
    <s v="SO2604-0044"/>
    <n v="3"/>
    <s v="KH023"/>
    <s v="VT009"/>
    <s v="WH_HN"/>
    <n v="26"/>
    <n v="25"/>
    <n v="566000"/>
    <n v="0"/>
    <s v="Open"/>
    <d v="2026-05-02T00:00:00"/>
    <m/>
    <s v="NV An"/>
    <m/>
    <n v="444"/>
    <s v="Khách hàng 023"/>
    <x v="1"/>
    <x v="3"/>
    <s v="Active"/>
    <x v="35"/>
    <s v="CAT03"/>
    <x v="4"/>
    <n v="480000"/>
    <n v="566000"/>
    <s v="Active"/>
    <s v="A"/>
    <s v="Kho Hà Nội"/>
    <s v="Miền Bắc"/>
    <x v="4"/>
    <n v="14150000"/>
    <n v="12000000"/>
    <n v="2150000"/>
    <b v="1"/>
    <b v="0"/>
    <m/>
    <m/>
    <b v="1"/>
    <b v="0"/>
    <n v="14150000"/>
    <n v="2150000"/>
    <n v="25"/>
    <n v="26"/>
    <n v="0"/>
    <n v="0"/>
    <n v="0"/>
    <n v="2150000"/>
  </r>
  <r>
    <d v="2026-03-19T00:00:00"/>
    <s v="SO2603-0137"/>
    <n v="4"/>
    <s v="KH026"/>
    <s v="VT027"/>
    <s v="WH_DA"/>
    <n v="16"/>
    <n v="16"/>
    <n v="1062000"/>
    <n v="0"/>
    <s v="Completed"/>
    <d v="2026-03-22T00:00:00"/>
    <d v="2026-03-22T00:00:00"/>
    <s v="NV Dũng"/>
    <m/>
    <n v="445"/>
    <s v="Khách hàng 026"/>
    <x v="2"/>
    <x v="1"/>
    <s v="Active"/>
    <x v="16"/>
    <s v="CAT03"/>
    <x v="4"/>
    <n v="900000"/>
    <n v="1062000"/>
    <s v="Active"/>
    <s v="A"/>
    <s v="Kho Đông Anh"/>
    <s v="Miền Bắc"/>
    <x v="0"/>
    <n v="16992000"/>
    <n v="14400000"/>
    <n v="2592000"/>
    <b v="1"/>
    <b v="1"/>
    <n v="1"/>
    <n v="0"/>
    <b v="1"/>
    <b v="0"/>
    <n v="16992000"/>
    <n v="2592000"/>
    <n v="16"/>
    <n v="16"/>
    <n v="1"/>
    <n v="1"/>
    <n v="0"/>
    <n v="2592000"/>
  </r>
  <r>
    <d v="2026-04-22T00:00:00"/>
    <s v="SO2604-0088"/>
    <n v="2"/>
    <s v="KH012"/>
    <s v="VT005"/>
    <s v="WH_HCM"/>
    <n v="8"/>
    <n v="8"/>
    <n v="150000"/>
    <n v="0.08"/>
    <s v="Completed"/>
    <d v="2026-04-23T00:00:00"/>
    <d v="2026-04-30T00:00:00"/>
    <s v="NV Dũng"/>
    <m/>
    <n v="446"/>
    <s v="Khách hàng 012"/>
    <x v="1"/>
    <x v="0"/>
    <s v="Active"/>
    <x v="2"/>
    <s v="CAT05"/>
    <x v="2"/>
    <n v="120000"/>
    <n v="150000"/>
    <s v="Active"/>
    <s v="A"/>
    <s v="Kho HCM"/>
    <s v="Miền Nam"/>
    <x v="4"/>
    <n v="1104000"/>
    <n v="960000"/>
    <n v="144000"/>
    <b v="1"/>
    <b v="1"/>
    <n v="0"/>
    <n v="7"/>
    <b v="1"/>
    <b v="0"/>
    <n v="1104000"/>
    <n v="144000"/>
    <n v="8"/>
    <n v="8"/>
    <n v="0"/>
    <n v="1"/>
    <n v="0"/>
    <n v="144000"/>
  </r>
  <r>
    <d v="2026-02-15T00:00:00"/>
    <s v="SO2602-0079"/>
    <n v="4"/>
    <s v="KH005"/>
    <s v="VT007"/>
    <s v="WH_HCM"/>
    <n v="21"/>
    <n v="21"/>
    <n v="448000"/>
    <n v="0"/>
    <s v="Completed"/>
    <d v="2026-02-17T00:00:00"/>
    <d v="2026-02-24T00:00:00"/>
    <s v="NV Bình"/>
    <m/>
    <n v="447"/>
    <s v="Khách hàng 005"/>
    <x v="0"/>
    <x v="3"/>
    <s v="Active"/>
    <x v="25"/>
    <s v="CAT01"/>
    <x v="5"/>
    <n v="350000"/>
    <n v="448000"/>
    <s v="Discontinued"/>
    <s v="C"/>
    <s v="Kho HCM"/>
    <s v="Miền Nam"/>
    <x v="5"/>
    <n v="9408000"/>
    <n v="7350000"/>
    <n v="2058000"/>
    <b v="1"/>
    <b v="1"/>
    <n v="0"/>
    <n v="7"/>
    <b v="1"/>
    <b v="0"/>
    <n v="9408000"/>
    <n v="2058000"/>
    <n v="21"/>
    <n v="21"/>
    <n v="0"/>
    <n v="1"/>
    <n v="0"/>
    <n v="2058000"/>
  </r>
  <r>
    <d v="2026-05-29T00:00:00"/>
    <s v="SO2605-0001"/>
    <n v="2"/>
    <s v="KH010"/>
    <s v="VT029"/>
    <s v="WH_DN"/>
    <n v="25"/>
    <n v="25"/>
    <n v="1125000"/>
    <n v="0"/>
    <s v="Completed"/>
    <d v="2026-06-08T00:00:00"/>
    <d v="2026-06-08T00:00:00"/>
    <s v="NV Chi"/>
    <m/>
    <n v="448"/>
    <s v="Khách hàng 010"/>
    <x v="0"/>
    <x v="3"/>
    <s v="Active"/>
    <x v="15"/>
    <s v="CAT05"/>
    <x v="2"/>
    <n v="900000"/>
    <n v="1125000"/>
    <s v="Active"/>
    <s v="A"/>
    <s v="Kho Đà Nẵng"/>
    <s v="Miền Trung"/>
    <x v="1"/>
    <n v="28125000"/>
    <n v="22500000"/>
    <n v="5625000"/>
    <b v="1"/>
    <b v="1"/>
    <n v="1"/>
    <n v="0"/>
    <b v="1"/>
    <b v="0"/>
    <n v="28125000"/>
    <n v="5625000"/>
    <n v="25"/>
    <n v="25"/>
    <n v="1"/>
    <n v="1"/>
    <n v="0"/>
    <n v="5625000"/>
  </r>
  <r>
    <d v="2026-05-26T00:00:00"/>
    <s v="SO2605-0078"/>
    <n v="4"/>
    <s v="KH023"/>
    <s v="VT006"/>
    <s v="WH_HN"/>
    <n v="33"/>
    <n v="33"/>
    <n v="2430000"/>
    <n v="0"/>
    <s v="Completed"/>
    <d v="2026-05-29T00:00:00"/>
    <d v="2026-05-31T00:00:00"/>
    <s v="NV An"/>
    <m/>
    <n v="449"/>
    <s v="Khách hàng 023"/>
    <x v="1"/>
    <x v="3"/>
    <s v="Active"/>
    <x v="1"/>
    <s v="CAT06"/>
    <x v="1"/>
    <n v="1800000"/>
    <n v="2430000"/>
    <s v="Active"/>
    <s v="C"/>
    <s v="Kho Hà Nội"/>
    <s v="Miền Bắc"/>
    <x v="1"/>
    <n v="80190000"/>
    <n v="59400000"/>
    <n v="20790000"/>
    <b v="1"/>
    <b v="1"/>
    <n v="0"/>
    <n v="2"/>
    <b v="1"/>
    <b v="0"/>
    <n v="80190000"/>
    <n v="20790000"/>
    <n v="33"/>
    <n v="33"/>
    <n v="0"/>
    <n v="1"/>
    <n v="0"/>
    <n v="2079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s v="VT001"/>
    <s v="Dầu nhớt 01"/>
    <x v="0"/>
    <x v="0"/>
    <x v="0"/>
    <s v="WH_HN"/>
    <x v="0"/>
    <s v="Miền Bắc"/>
    <n v="52"/>
    <n v="9360000"/>
    <n v="30"/>
    <d v="2025-12-02T00:00:00"/>
    <b v="0"/>
    <b v="0"/>
    <b v="0"/>
    <n v="0"/>
    <b v="0"/>
    <n v="0"/>
    <n v="0"/>
    <n v="0"/>
  </r>
  <r>
    <s v="VT001"/>
    <s v="Dầu nhớt 01"/>
    <x v="0"/>
    <x v="0"/>
    <x v="0"/>
    <s v="WH_DA"/>
    <x v="1"/>
    <s v="Miền Bắc"/>
    <n v="34"/>
    <n v="6120000"/>
    <n v="50"/>
    <d v="2026-06-19T00:00:00"/>
    <b v="1"/>
    <b v="0"/>
    <b v="0"/>
    <n v="0"/>
    <b v="0"/>
    <n v="0"/>
    <n v="1"/>
    <n v="0"/>
  </r>
  <r>
    <s v="VT001"/>
    <s v="Dầu nhớt 01"/>
    <x v="0"/>
    <x v="0"/>
    <x v="0"/>
    <s v="WH_DN"/>
    <x v="2"/>
    <s v="Miền Trung"/>
    <n v="29"/>
    <n v="5220000"/>
    <n v="30"/>
    <d v="2026-01-11T00:00:00"/>
    <b v="1"/>
    <b v="0"/>
    <b v="0"/>
    <n v="0"/>
    <b v="0"/>
    <n v="0"/>
    <n v="1"/>
    <n v="0"/>
  </r>
  <r>
    <s v="VT001"/>
    <s v="Dầu nhớt 01"/>
    <x v="0"/>
    <x v="0"/>
    <x v="0"/>
    <s v="WH_HCM"/>
    <x v="3"/>
    <s v="Miền Nam"/>
    <n v="115"/>
    <n v="20700000"/>
    <n v="10"/>
    <d v="2026-04-11T00:00:00"/>
    <b v="0"/>
    <b v="0"/>
    <b v="0"/>
    <n v="0"/>
    <b v="0"/>
    <n v="0"/>
    <n v="0"/>
    <n v="0"/>
  </r>
  <r>
    <s v="VT002"/>
    <s v="Ắc quy 02"/>
    <x v="1"/>
    <x v="1"/>
    <x v="0"/>
    <s v="WH_HN"/>
    <x v="0"/>
    <s v="Miền Bắc"/>
    <n v="65"/>
    <n v="22750000"/>
    <n v="10"/>
    <d v="2025-12-06T00:00:00"/>
    <b v="0"/>
    <b v="0"/>
    <b v="0"/>
    <n v="0"/>
    <b v="0"/>
    <n v="0"/>
    <n v="0"/>
    <n v="0"/>
  </r>
  <r>
    <s v="VT002"/>
    <s v="Ắc quy 02"/>
    <x v="1"/>
    <x v="1"/>
    <x v="0"/>
    <s v="WH_DA"/>
    <x v="1"/>
    <s v="Miền Bắc"/>
    <n v="29"/>
    <n v="10150000"/>
    <n v="10"/>
    <d v="2026-05-26T00:00:00"/>
    <b v="0"/>
    <b v="0"/>
    <b v="0"/>
    <n v="0"/>
    <b v="0"/>
    <n v="0"/>
    <n v="0"/>
    <n v="0"/>
  </r>
  <r>
    <s v="VT002"/>
    <s v="Ắc quy 02"/>
    <x v="1"/>
    <x v="1"/>
    <x v="0"/>
    <s v="WH_DN"/>
    <x v="2"/>
    <s v="Miền Trung"/>
    <n v="4"/>
    <n v="1400000"/>
    <n v="20"/>
    <d v="2026-04-01T00:00:00"/>
    <b v="1"/>
    <b v="0"/>
    <b v="0"/>
    <n v="0"/>
    <b v="0"/>
    <n v="0"/>
    <n v="1"/>
    <n v="0"/>
  </r>
  <r>
    <s v="VT002"/>
    <s v="Ắc quy 02"/>
    <x v="1"/>
    <x v="1"/>
    <x v="0"/>
    <s v="WH_HCM"/>
    <x v="3"/>
    <s v="Miền Nam"/>
    <n v="42"/>
    <n v="14700000"/>
    <n v="30"/>
    <d v="2026-04-09T00:00:00"/>
    <b v="0"/>
    <b v="0"/>
    <b v="0"/>
    <n v="0"/>
    <b v="0"/>
    <n v="0"/>
    <n v="0"/>
    <n v="0"/>
  </r>
  <r>
    <s v="VT003"/>
    <s v="Lốp 03"/>
    <x v="2"/>
    <x v="1"/>
    <x v="0"/>
    <s v="WH_HN"/>
    <x v="0"/>
    <s v="Miền Bắc"/>
    <n v="98"/>
    <n v="17640000"/>
    <n v="30"/>
    <d v="2026-05-08T00:00:00"/>
    <b v="0"/>
    <b v="0"/>
    <b v="0"/>
    <n v="0"/>
    <b v="0"/>
    <n v="0"/>
    <n v="0"/>
    <n v="0"/>
  </r>
  <r>
    <s v="VT003"/>
    <s v="Lốp 03"/>
    <x v="2"/>
    <x v="1"/>
    <x v="0"/>
    <s v="WH_DA"/>
    <x v="1"/>
    <s v="Miền Bắc"/>
    <n v="17"/>
    <n v="3060000"/>
    <n v="30"/>
    <d v="2026-06-23T00:00:00"/>
    <b v="1"/>
    <b v="0"/>
    <b v="0"/>
    <n v="0"/>
    <b v="0"/>
    <n v="0"/>
    <n v="1"/>
    <n v="0"/>
  </r>
  <r>
    <s v="VT003"/>
    <s v="Lốp 03"/>
    <x v="2"/>
    <x v="1"/>
    <x v="0"/>
    <s v="WH_DN"/>
    <x v="2"/>
    <s v="Miền Trung"/>
    <n v="36"/>
    <n v="6480000"/>
    <n v="30"/>
    <d v="2025-12-07T00:00:00"/>
    <b v="0"/>
    <b v="0"/>
    <b v="0"/>
    <n v="0"/>
    <b v="0"/>
    <n v="0"/>
    <n v="0"/>
    <n v="0"/>
  </r>
  <r>
    <s v="VT003"/>
    <s v="Lốp 03"/>
    <x v="2"/>
    <x v="1"/>
    <x v="0"/>
    <s v="WH_HCM"/>
    <x v="3"/>
    <s v="Miền Nam"/>
    <n v="51"/>
    <n v="9180000"/>
    <n v="10"/>
    <d v="2026-02-25T00:00:00"/>
    <b v="0"/>
    <b v="0"/>
    <b v="0"/>
    <n v="0"/>
    <b v="0"/>
    <n v="0"/>
    <n v="0"/>
    <n v="0"/>
  </r>
  <r>
    <s v="VT004"/>
    <s v="Phụ tùng nhanh 04"/>
    <x v="3"/>
    <x v="2"/>
    <x v="0"/>
    <s v="WH_HN"/>
    <x v="0"/>
    <s v="Miền Bắc"/>
    <n v="97"/>
    <n v="17460000"/>
    <n v="20"/>
    <d v="2025-11-16T00:00:00"/>
    <b v="0"/>
    <b v="0"/>
    <b v="0"/>
    <n v="0"/>
    <b v="0"/>
    <n v="0"/>
    <n v="0"/>
    <n v="0"/>
  </r>
  <r>
    <s v="VT004"/>
    <s v="Phụ tùng nhanh 04"/>
    <x v="3"/>
    <x v="2"/>
    <x v="0"/>
    <s v="WH_DA"/>
    <x v="1"/>
    <s v="Miền Bắc"/>
    <n v="29"/>
    <n v="5220000"/>
    <n v="20"/>
    <d v="2026-02-24T00:00:00"/>
    <b v="0"/>
    <b v="0"/>
    <b v="0"/>
    <n v="0"/>
    <b v="0"/>
    <n v="0"/>
    <n v="0"/>
    <n v="0"/>
  </r>
  <r>
    <s v="VT004"/>
    <s v="Phụ tùng nhanh 04"/>
    <x v="3"/>
    <x v="2"/>
    <x v="0"/>
    <s v="WH_DN"/>
    <x v="2"/>
    <s v="Miền Trung"/>
    <n v="75"/>
    <n v="13500000"/>
    <n v="50"/>
    <d v="2025-12-23T00:00:00"/>
    <b v="0"/>
    <b v="0"/>
    <b v="0"/>
    <n v="0"/>
    <b v="0"/>
    <n v="0"/>
    <n v="0"/>
    <n v="0"/>
  </r>
  <r>
    <s v="VT004"/>
    <s v="Phụ tùng nhanh 04"/>
    <x v="3"/>
    <x v="2"/>
    <x v="0"/>
    <s v="WH_HCM"/>
    <x v="3"/>
    <s v="Miền Nam"/>
    <n v="43"/>
    <n v="7740000"/>
    <n v="10"/>
    <d v="2026-04-06T00:00:00"/>
    <b v="0"/>
    <b v="0"/>
    <b v="0"/>
    <n v="0"/>
    <b v="0"/>
    <n v="0"/>
    <n v="0"/>
    <n v="0"/>
  </r>
  <r>
    <s v="VT005"/>
    <s v="Phụ tùng thân vỏ 05"/>
    <x v="4"/>
    <x v="2"/>
    <x v="0"/>
    <s v="WH_HN"/>
    <x v="0"/>
    <s v="Miền Bắc"/>
    <n v="256"/>
    <n v="30720000"/>
    <n v="20"/>
    <d v="2026-03-05T00:00:00"/>
    <b v="0"/>
    <b v="0"/>
    <b v="0"/>
    <n v="0"/>
    <b v="0"/>
    <n v="0"/>
    <n v="0"/>
    <n v="0"/>
  </r>
  <r>
    <s v="VT005"/>
    <s v="Phụ tùng thân vỏ 05"/>
    <x v="4"/>
    <x v="2"/>
    <x v="0"/>
    <s v="WH_DA"/>
    <x v="1"/>
    <s v="Miền Bắc"/>
    <n v="157"/>
    <n v="18840000"/>
    <n v="30"/>
    <d v="2026-05-21T00:00:00"/>
    <b v="0"/>
    <b v="0"/>
    <b v="0"/>
    <n v="0"/>
    <b v="0"/>
    <n v="0"/>
    <n v="0"/>
    <n v="0"/>
  </r>
  <r>
    <s v="VT005"/>
    <s v="Phụ tùng thân vỏ 05"/>
    <x v="4"/>
    <x v="2"/>
    <x v="0"/>
    <s v="WH_DN"/>
    <x v="2"/>
    <s v="Miền Trung"/>
    <n v="228"/>
    <n v="27360000"/>
    <n v="10"/>
    <d v="2026-02-18T00:00:00"/>
    <b v="0"/>
    <b v="0"/>
    <b v="0"/>
    <n v="0"/>
    <b v="0"/>
    <n v="0"/>
    <n v="0"/>
    <n v="0"/>
  </r>
  <r>
    <s v="VT005"/>
    <s v="Phụ tùng thân vỏ 05"/>
    <x v="4"/>
    <x v="2"/>
    <x v="0"/>
    <s v="WH_HCM"/>
    <x v="3"/>
    <s v="Miền Nam"/>
    <n v="240"/>
    <n v="28800000"/>
    <n v="30"/>
    <d v="2026-04-29T00:00:00"/>
    <b v="0"/>
    <b v="0"/>
    <b v="0"/>
    <n v="0"/>
    <b v="0"/>
    <n v="0"/>
    <n v="0"/>
    <n v="0"/>
  </r>
  <r>
    <s v="VT006"/>
    <s v="Hóa chất 06"/>
    <x v="5"/>
    <x v="1"/>
    <x v="0"/>
    <s v="WH_HN"/>
    <x v="0"/>
    <s v="Miền Bắc"/>
    <n v="87"/>
    <n v="156600000"/>
    <n v="50"/>
    <d v="2025-12-12T00:00:00"/>
    <b v="0"/>
    <b v="0"/>
    <b v="0"/>
    <n v="0"/>
    <b v="0"/>
    <n v="0"/>
    <n v="0"/>
    <n v="0"/>
  </r>
  <r>
    <s v="VT006"/>
    <s v="Hóa chất 06"/>
    <x v="5"/>
    <x v="1"/>
    <x v="0"/>
    <s v="WH_DA"/>
    <x v="1"/>
    <s v="Miền Bắc"/>
    <n v="68"/>
    <n v="122400000"/>
    <n v="30"/>
    <d v="2026-04-03T00:00:00"/>
    <b v="0"/>
    <b v="0"/>
    <b v="0"/>
    <n v="0"/>
    <b v="0"/>
    <n v="0"/>
    <n v="0"/>
    <n v="0"/>
  </r>
  <r>
    <s v="VT006"/>
    <s v="Hóa chất 06"/>
    <x v="5"/>
    <x v="1"/>
    <x v="0"/>
    <s v="WH_DN"/>
    <x v="2"/>
    <s v="Miền Trung"/>
    <n v="72"/>
    <n v="129600000"/>
    <n v="10"/>
    <d v="2026-05-21T00:00:00"/>
    <b v="0"/>
    <b v="0"/>
    <b v="0"/>
    <n v="0"/>
    <b v="0"/>
    <n v="0"/>
    <n v="0"/>
    <n v="0"/>
  </r>
  <r>
    <s v="VT006"/>
    <s v="Hóa chất 06"/>
    <x v="5"/>
    <x v="1"/>
    <x v="0"/>
    <s v="WH_HCM"/>
    <x v="3"/>
    <s v="Miền Nam"/>
    <n v="42"/>
    <n v="75600000"/>
    <n v="50"/>
    <d v="2026-03-20T00:00:00"/>
    <b v="1"/>
    <b v="0"/>
    <b v="0"/>
    <n v="0"/>
    <b v="0"/>
    <n v="0"/>
    <n v="1"/>
    <n v="0"/>
  </r>
  <r>
    <s v="VT007"/>
    <s v="Dầu nhớt 07"/>
    <x v="0"/>
    <x v="1"/>
    <x v="1"/>
    <s v="WH_HN"/>
    <x v="0"/>
    <s v="Miền Bắc"/>
    <n v="96"/>
    <n v="33600000"/>
    <n v="50"/>
    <d v="2026-05-08T00:00:00"/>
    <b v="0"/>
    <b v="0"/>
    <b v="1"/>
    <n v="33600000"/>
    <b v="1"/>
    <n v="33600000"/>
    <n v="0"/>
    <n v="0"/>
  </r>
  <r>
    <s v="VT007"/>
    <s v="Dầu nhớt 07"/>
    <x v="0"/>
    <x v="1"/>
    <x v="1"/>
    <s v="WH_DA"/>
    <x v="1"/>
    <s v="Miền Bắc"/>
    <n v="195"/>
    <n v="68250000"/>
    <n v="30"/>
    <d v="2026-06-02T00:00:00"/>
    <b v="0"/>
    <b v="0"/>
    <b v="1"/>
    <n v="68250000"/>
    <b v="1"/>
    <n v="68250000"/>
    <n v="0"/>
    <n v="0"/>
  </r>
  <r>
    <s v="VT007"/>
    <s v="Dầu nhớt 07"/>
    <x v="0"/>
    <x v="1"/>
    <x v="1"/>
    <s v="WH_DN"/>
    <x v="2"/>
    <s v="Miền Trung"/>
    <n v="125"/>
    <n v="43750000"/>
    <n v="10"/>
    <d v="2025-11-26T00:00:00"/>
    <b v="0"/>
    <b v="0"/>
    <b v="1"/>
    <n v="43750000"/>
    <b v="1"/>
    <n v="43750000"/>
    <n v="0"/>
    <n v="0"/>
  </r>
  <r>
    <s v="VT007"/>
    <s v="Dầu nhớt 07"/>
    <x v="0"/>
    <x v="1"/>
    <x v="1"/>
    <s v="WH_HCM"/>
    <x v="3"/>
    <s v="Miền Nam"/>
    <n v="86"/>
    <n v="30100000"/>
    <n v="20"/>
    <d v="2026-05-06T00:00:00"/>
    <b v="0"/>
    <b v="0"/>
    <b v="1"/>
    <n v="30100000"/>
    <b v="1"/>
    <n v="30100000"/>
    <n v="0"/>
    <n v="0"/>
  </r>
  <r>
    <s v="VT008"/>
    <s v="Ắc quy 08"/>
    <x v="1"/>
    <x v="0"/>
    <x v="0"/>
    <s v="WH_HN"/>
    <x v="0"/>
    <s v="Miền Bắc"/>
    <n v="49"/>
    <n v="88200000"/>
    <n v="30"/>
    <d v="2026-05-04T00:00:00"/>
    <b v="0"/>
    <b v="0"/>
    <b v="0"/>
    <n v="0"/>
    <b v="0"/>
    <n v="0"/>
    <n v="0"/>
    <n v="0"/>
  </r>
  <r>
    <s v="VT008"/>
    <s v="Ắc quy 08"/>
    <x v="1"/>
    <x v="0"/>
    <x v="0"/>
    <s v="WH_DA"/>
    <x v="1"/>
    <s v="Miền Bắc"/>
    <n v="84"/>
    <n v="151200000"/>
    <n v="10"/>
    <d v="2026-03-01T00:00:00"/>
    <b v="0"/>
    <b v="0"/>
    <b v="0"/>
    <n v="0"/>
    <b v="0"/>
    <n v="0"/>
    <n v="0"/>
    <n v="0"/>
  </r>
  <r>
    <s v="VT008"/>
    <s v="Ắc quy 08"/>
    <x v="1"/>
    <x v="0"/>
    <x v="0"/>
    <s v="WH_DN"/>
    <x v="2"/>
    <s v="Miền Trung"/>
    <n v="66"/>
    <n v="118800000"/>
    <n v="10"/>
    <d v="2026-05-13T00:00:00"/>
    <b v="0"/>
    <b v="0"/>
    <b v="0"/>
    <n v="0"/>
    <b v="0"/>
    <n v="0"/>
    <n v="0"/>
    <n v="0"/>
  </r>
  <r>
    <s v="VT008"/>
    <s v="Ắc quy 08"/>
    <x v="1"/>
    <x v="0"/>
    <x v="0"/>
    <s v="WH_HCM"/>
    <x v="3"/>
    <s v="Miền Nam"/>
    <n v="116"/>
    <n v="208800000"/>
    <n v="50"/>
    <d v="2026-03-17T00:00:00"/>
    <b v="0"/>
    <b v="0"/>
    <b v="0"/>
    <n v="0"/>
    <b v="0"/>
    <n v="0"/>
    <n v="0"/>
    <n v="0"/>
  </r>
  <r>
    <s v="VT009"/>
    <s v="Lốp 09"/>
    <x v="2"/>
    <x v="2"/>
    <x v="0"/>
    <s v="WH_HN"/>
    <x v="0"/>
    <s v="Miền Bắc"/>
    <n v="14"/>
    <n v="6720000"/>
    <n v="20"/>
    <d v="2026-02-08T00:00:00"/>
    <b v="1"/>
    <b v="0"/>
    <b v="0"/>
    <n v="0"/>
    <b v="0"/>
    <n v="0"/>
    <n v="1"/>
    <n v="0"/>
  </r>
  <r>
    <s v="VT009"/>
    <s v="Lốp 09"/>
    <x v="2"/>
    <x v="2"/>
    <x v="0"/>
    <s v="WH_DA"/>
    <x v="1"/>
    <s v="Miền Bắc"/>
    <n v="95"/>
    <n v="45600000"/>
    <n v="10"/>
    <d v="2026-03-18T00:00:00"/>
    <b v="0"/>
    <b v="0"/>
    <b v="0"/>
    <n v="0"/>
    <b v="0"/>
    <n v="0"/>
    <n v="0"/>
    <n v="0"/>
  </r>
  <r>
    <s v="VT009"/>
    <s v="Lốp 09"/>
    <x v="2"/>
    <x v="2"/>
    <x v="0"/>
    <s v="WH_DN"/>
    <x v="2"/>
    <s v="Miền Trung"/>
    <n v="110"/>
    <n v="52800000"/>
    <n v="20"/>
    <d v="2026-05-23T00:00:00"/>
    <b v="0"/>
    <b v="0"/>
    <b v="0"/>
    <n v="0"/>
    <b v="0"/>
    <n v="0"/>
    <n v="0"/>
    <n v="0"/>
  </r>
  <r>
    <s v="VT009"/>
    <s v="Lốp 09"/>
    <x v="2"/>
    <x v="2"/>
    <x v="0"/>
    <s v="WH_HCM"/>
    <x v="3"/>
    <s v="Miền Nam"/>
    <n v="39"/>
    <n v="18720000"/>
    <n v="50"/>
    <d v="2025-11-28T00:00:00"/>
    <b v="1"/>
    <b v="0"/>
    <b v="0"/>
    <n v="0"/>
    <b v="0"/>
    <n v="0"/>
    <n v="1"/>
    <n v="0"/>
  </r>
  <r>
    <s v="VT010"/>
    <s v="Phụ tùng nhanh 10"/>
    <x v="3"/>
    <x v="2"/>
    <x v="0"/>
    <s v="WH_HN"/>
    <x v="0"/>
    <s v="Miền Bắc"/>
    <n v="60"/>
    <n v="54000000"/>
    <n v="20"/>
    <d v="2026-01-22T00:00:00"/>
    <b v="0"/>
    <b v="0"/>
    <b v="0"/>
    <n v="0"/>
    <b v="0"/>
    <n v="0"/>
    <n v="0"/>
    <n v="0"/>
  </r>
  <r>
    <s v="VT010"/>
    <s v="Phụ tùng nhanh 10"/>
    <x v="3"/>
    <x v="2"/>
    <x v="0"/>
    <s v="WH_DA"/>
    <x v="1"/>
    <s v="Miền Bắc"/>
    <n v="39"/>
    <n v="35100000"/>
    <n v="20"/>
    <d v="2026-02-17T00:00:00"/>
    <b v="0"/>
    <b v="0"/>
    <b v="0"/>
    <n v="0"/>
    <b v="0"/>
    <n v="0"/>
    <n v="0"/>
    <n v="0"/>
  </r>
  <r>
    <s v="VT010"/>
    <s v="Phụ tùng nhanh 10"/>
    <x v="3"/>
    <x v="2"/>
    <x v="0"/>
    <s v="WH_DN"/>
    <x v="2"/>
    <s v="Miền Trung"/>
    <n v="-3"/>
    <n v="-2700000"/>
    <n v="30"/>
    <d v="2026-05-05T00:00:00"/>
    <b v="1"/>
    <b v="1"/>
    <b v="0"/>
    <n v="0"/>
    <b v="0"/>
    <n v="0"/>
    <n v="1"/>
    <n v="1"/>
  </r>
  <r>
    <s v="VT010"/>
    <s v="Phụ tùng nhanh 10"/>
    <x v="3"/>
    <x v="2"/>
    <x v="0"/>
    <s v="WH_HCM"/>
    <x v="3"/>
    <s v="Miền Nam"/>
    <n v="57"/>
    <n v="51300000"/>
    <n v="10"/>
    <d v="2025-11-26T00:00:00"/>
    <b v="0"/>
    <b v="0"/>
    <b v="0"/>
    <n v="0"/>
    <b v="0"/>
    <n v="0"/>
    <n v="0"/>
    <n v="0"/>
  </r>
  <r>
    <s v="VT011"/>
    <s v="Phụ tùng thân vỏ 11"/>
    <x v="4"/>
    <x v="2"/>
    <x v="0"/>
    <s v="WH_HN"/>
    <x v="0"/>
    <s v="Miền Bắc"/>
    <n v="213"/>
    <n v="74550000"/>
    <n v="30"/>
    <d v="2025-11-04T00:00:00"/>
    <b v="0"/>
    <b v="0"/>
    <b v="1"/>
    <n v="74550000"/>
    <b v="0"/>
    <n v="0"/>
    <n v="0"/>
    <n v="0"/>
  </r>
  <r>
    <s v="VT011"/>
    <s v="Phụ tùng thân vỏ 11"/>
    <x v="4"/>
    <x v="2"/>
    <x v="0"/>
    <s v="WH_DA"/>
    <x v="1"/>
    <s v="Miền Bắc"/>
    <n v="267"/>
    <n v="93450000"/>
    <n v="50"/>
    <d v="2026-01-29T00:00:00"/>
    <b v="0"/>
    <b v="0"/>
    <b v="1"/>
    <n v="93450000"/>
    <b v="0"/>
    <n v="0"/>
    <n v="0"/>
    <n v="0"/>
  </r>
  <r>
    <s v="VT011"/>
    <s v="Phụ tùng thân vỏ 11"/>
    <x v="4"/>
    <x v="2"/>
    <x v="0"/>
    <s v="WH_DN"/>
    <x v="2"/>
    <s v="Miền Trung"/>
    <n v="223"/>
    <n v="78050000"/>
    <n v="50"/>
    <d v="2026-03-29T00:00:00"/>
    <b v="0"/>
    <b v="0"/>
    <b v="1"/>
    <n v="78050000"/>
    <b v="0"/>
    <n v="0"/>
    <n v="0"/>
    <n v="0"/>
  </r>
  <r>
    <s v="VT011"/>
    <s v="Phụ tùng thân vỏ 11"/>
    <x v="4"/>
    <x v="2"/>
    <x v="0"/>
    <s v="WH_HCM"/>
    <x v="3"/>
    <s v="Miền Nam"/>
    <n v="226"/>
    <n v="79100000"/>
    <n v="50"/>
    <d v="2026-01-20T00:00:00"/>
    <b v="0"/>
    <b v="0"/>
    <b v="1"/>
    <n v="79100000"/>
    <b v="0"/>
    <n v="0"/>
    <n v="0"/>
    <n v="0"/>
  </r>
  <r>
    <s v="VT012"/>
    <s v="Hóa chất 12"/>
    <x v="5"/>
    <x v="0"/>
    <x v="0"/>
    <s v="WH_HN"/>
    <x v="0"/>
    <s v="Miền Bắc"/>
    <n v="108"/>
    <n v="97200000"/>
    <n v="20"/>
    <d v="2026-03-11T00:00:00"/>
    <b v="0"/>
    <b v="0"/>
    <b v="1"/>
    <n v="97200000"/>
    <b v="0"/>
    <n v="0"/>
    <n v="0"/>
    <n v="0"/>
  </r>
  <r>
    <s v="VT012"/>
    <s v="Hóa chất 12"/>
    <x v="5"/>
    <x v="0"/>
    <x v="0"/>
    <s v="WH_DA"/>
    <x v="1"/>
    <s v="Miền Bắc"/>
    <n v="115"/>
    <n v="103500000"/>
    <n v="50"/>
    <d v="2026-02-28T00:00:00"/>
    <b v="0"/>
    <b v="0"/>
    <b v="1"/>
    <n v="103500000"/>
    <b v="0"/>
    <n v="0"/>
    <n v="0"/>
    <n v="0"/>
  </r>
  <r>
    <s v="VT012"/>
    <s v="Hóa chất 12"/>
    <x v="5"/>
    <x v="0"/>
    <x v="0"/>
    <s v="WH_DN"/>
    <x v="2"/>
    <s v="Miền Trung"/>
    <n v="84"/>
    <n v="75600000"/>
    <n v="20"/>
    <d v="2025-12-29T00:00:00"/>
    <b v="0"/>
    <b v="0"/>
    <b v="1"/>
    <n v="75600000"/>
    <b v="0"/>
    <n v="0"/>
    <n v="0"/>
    <n v="0"/>
  </r>
  <r>
    <s v="VT012"/>
    <s v="Hóa chất 12"/>
    <x v="5"/>
    <x v="0"/>
    <x v="0"/>
    <s v="WH_HCM"/>
    <x v="3"/>
    <s v="Miền Nam"/>
    <n v="50"/>
    <n v="45000000"/>
    <n v="10"/>
    <d v="2026-04-25T00:00:00"/>
    <b v="0"/>
    <b v="0"/>
    <b v="1"/>
    <n v="45000000"/>
    <b v="0"/>
    <n v="0"/>
    <n v="0"/>
    <n v="0"/>
  </r>
  <r>
    <s v="VT013"/>
    <s v="Dầu nhớt 13"/>
    <x v="0"/>
    <x v="0"/>
    <x v="0"/>
    <s v="WH_HN"/>
    <x v="0"/>
    <s v="Miền Bắc"/>
    <n v="20"/>
    <n v="9600000"/>
    <n v="30"/>
    <d v="2025-11-12T00:00:00"/>
    <b v="1"/>
    <b v="0"/>
    <b v="0"/>
    <n v="0"/>
    <b v="0"/>
    <n v="0"/>
    <n v="1"/>
    <n v="0"/>
  </r>
  <r>
    <s v="VT013"/>
    <s v="Dầu nhớt 13"/>
    <x v="0"/>
    <x v="0"/>
    <x v="0"/>
    <s v="WH_DA"/>
    <x v="1"/>
    <s v="Miền Bắc"/>
    <n v="37"/>
    <n v="17760000"/>
    <n v="10"/>
    <d v="2025-12-29T00:00:00"/>
    <b v="0"/>
    <b v="0"/>
    <b v="0"/>
    <n v="0"/>
    <b v="0"/>
    <n v="0"/>
    <n v="0"/>
    <n v="0"/>
  </r>
  <r>
    <s v="VT013"/>
    <s v="Dầu nhớt 13"/>
    <x v="0"/>
    <x v="0"/>
    <x v="0"/>
    <s v="WH_DN"/>
    <x v="2"/>
    <s v="Miền Trung"/>
    <n v="115"/>
    <n v="55200000"/>
    <n v="20"/>
    <d v="2025-11-05T00:00:00"/>
    <b v="0"/>
    <b v="0"/>
    <b v="0"/>
    <n v="0"/>
    <b v="0"/>
    <n v="0"/>
    <n v="0"/>
    <n v="0"/>
  </r>
  <r>
    <s v="VT013"/>
    <s v="Dầu nhớt 13"/>
    <x v="0"/>
    <x v="0"/>
    <x v="0"/>
    <s v="WH_HCM"/>
    <x v="3"/>
    <s v="Miền Nam"/>
    <n v="97"/>
    <n v="46560000"/>
    <n v="10"/>
    <d v="2026-03-23T00:00:00"/>
    <b v="0"/>
    <b v="0"/>
    <b v="0"/>
    <n v="0"/>
    <b v="0"/>
    <n v="0"/>
    <n v="0"/>
    <n v="0"/>
  </r>
  <r>
    <s v="VT014"/>
    <s v="Ắc quy 14"/>
    <x v="1"/>
    <x v="2"/>
    <x v="0"/>
    <s v="WH_HN"/>
    <x v="0"/>
    <s v="Miền Bắc"/>
    <n v="13"/>
    <n v="23400000"/>
    <n v="30"/>
    <d v="2026-03-13T00:00:00"/>
    <b v="1"/>
    <b v="0"/>
    <b v="1"/>
    <n v="23400000"/>
    <b v="0"/>
    <n v="0"/>
    <n v="1"/>
    <n v="0"/>
  </r>
  <r>
    <s v="VT014"/>
    <s v="Ắc quy 14"/>
    <x v="1"/>
    <x v="2"/>
    <x v="0"/>
    <s v="WH_DA"/>
    <x v="1"/>
    <s v="Miền Bắc"/>
    <n v="32"/>
    <n v="57600000"/>
    <n v="20"/>
    <d v="2026-02-16T00:00:00"/>
    <b v="0"/>
    <b v="0"/>
    <b v="1"/>
    <n v="57600000"/>
    <b v="0"/>
    <n v="0"/>
    <n v="0"/>
    <n v="0"/>
  </r>
  <r>
    <s v="VT014"/>
    <s v="Ắc quy 14"/>
    <x v="1"/>
    <x v="2"/>
    <x v="0"/>
    <s v="WH_DN"/>
    <x v="2"/>
    <s v="Miền Trung"/>
    <n v="3"/>
    <n v="5400000"/>
    <n v="10"/>
    <d v="2026-01-13T00:00:00"/>
    <b v="1"/>
    <b v="0"/>
    <b v="1"/>
    <n v="5400000"/>
    <b v="0"/>
    <n v="0"/>
    <n v="1"/>
    <n v="0"/>
  </r>
  <r>
    <s v="VT014"/>
    <s v="Ắc quy 14"/>
    <x v="1"/>
    <x v="2"/>
    <x v="0"/>
    <s v="WH_HCM"/>
    <x v="3"/>
    <s v="Miền Nam"/>
    <n v="95"/>
    <n v="171000000"/>
    <n v="50"/>
    <d v="2026-03-20T00:00:00"/>
    <b v="0"/>
    <b v="0"/>
    <b v="1"/>
    <n v="171000000"/>
    <b v="0"/>
    <n v="0"/>
    <n v="0"/>
    <n v="0"/>
  </r>
  <r>
    <s v="VT015"/>
    <s v="Lốp 15"/>
    <x v="2"/>
    <x v="1"/>
    <x v="0"/>
    <s v="WH_HN"/>
    <x v="0"/>
    <s v="Miền Bắc"/>
    <n v="51"/>
    <n v="91800000"/>
    <n v="20"/>
    <d v="2026-03-16T00:00:00"/>
    <b v="0"/>
    <b v="0"/>
    <b v="0"/>
    <n v="0"/>
    <b v="0"/>
    <n v="0"/>
    <n v="0"/>
    <n v="0"/>
  </r>
  <r>
    <s v="VT015"/>
    <s v="Lốp 15"/>
    <x v="2"/>
    <x v="1"/>
    <x v="0"/>
    <s v="WH_DA"/>
    <x v="1"/>
    <s v="Miền Bắc"/>
    <n v="32"/>
    <n v="57600000"/>
    <n v="10"/>
    <d v="2025-12-26T00:00:00"/>
    <b v="0"/>
    <b v="0"/>
    <b v="0"/>
    <n v="0"/>
    <b v="0"/>
    <n v="0"/>
    <n v="0"/>
    <n v="0"/>
  </r>
  <r>
    <s v="VT015"/>
    <s v="Lốp 15"/>
    <x v="2"/>
    <x v="1"/>
    <x v="0"/>
    <s v="WH_DN"/>
    <x v="2"/>
    <s v="Miền Trung"/>
    <n v="41"/>
    <n v="73800000"/>
    <n v="50"/>
    <d v="2026-02-21T00:00:00"/>
    <b v="1"/>
    <b v="0"/>
    <b v="0"/>
    <n v="0"/>
    <b v="0"/>
    <n v="0"/>
    <n v="1"/>
    <n v="0"/>
  </r>
  <r>
    <s v="VT015"/>
    <s v="Lốp 15"/>
    <x v="2"/>
    <x v="1"/>
    <x v="0"/>
    <s v="WH_HCM"/>
    <x v="3"/>
    <s v="Miền Nam"/>
    <n v="10"/>
    <n v="18000000"/>
    <n v="20"/>
    <d v="2025-12-25T00:00:00"/>
    <b v="1"/>
    <b v="0"/>
    <b v="0"/>
    <n v="0"/>
    <b v="0"/>
    <n v="0"/>
    <n v="1"/>
    <n v="0"/>
  </r>
  <r>
    <s v="VT016"/>
    <s v="Phụ tùng nhanh 16"/>
    <x v="3"/>
    <x v="1"/>
    <x v="0"/>
    <s v="WH_HN"/>
    <x v="0"/>
    <s v="Miền Bắc"/>
    <n v="17"/>
    <n v="11050000"/>
    <n v="50"/>
    <d v="2025-11-27T00:00:00"/>
    <b v="1"/>
    <b v="0"/>
    <b v="0"/>
    <n v="0"/>
    <b v="0"/>
    <n v="0"/>
    <n v="1"/>
    <n v="0"/>
  </r>
  <r>
    <s v="VT016"/>
    <s v="Phụ tùng nhanh 16"/>
    <x v="3"/>
    <x v="1"/>
    <x v="0"/>
    <s v="WH_DA"/>
    <x v="1"/>
    <s v="Miền Bắc"/>
    <n v="-2"/>
    <n v="-1300000"/>
    <n v="20"/>
    <d v="2025-11-23T00:00:00"/>
    <b v="1"/>
    <b v="1"/>
    <b v="0"/>
    <n v="0"/>
    <b v="0"/>
    <n v="0"/>
    <n v="1"/>
    <n v="1"/>
  </r>
  <r>
    <s v="VT016"/>
    <s v="Phụ tùng nhanh 16"/>
    <x v="3"/>
    <x v="1"/>
    <x v="0"/>
    <s v="WH_DN"/>
    <x v="2"/>
    <s v="Miền Trung"/>
    <n v="22"/>
    <n v="14300000"/>
    <n v="30"/>
    <d v="2026-05-25T00:00:00"/>
    <b v="1"/>
    <b v="0"/>
    <b v="0"/>
    <n v="0"/>
    <b v="0"/>
    <n v="0"/>
    <n v="1"/>
    <n v="0"/>
  </r>
  <r>
    <s v="VT016"/>
    <s v="Phụ tùng nhanh 16"/>
    <x v="3"/>
    <x v="1"/>
    <x v="0"/>
    <s v="WH_HCM"/>
    <x v="3"/>
    <s v="Miền Nam"/>
    <n v="50"/>
    <n v="32500000"/>
    <n v="20"/>
    <d v="2026-06-06T00:00:00"/>
    <b v="0"/>
    <b v="0"/>
    <b v="0"/>
    <n v="0"/>
    <b v="0"/>
    <n v="0"/>
    <n v="0"/>
    <n v="0"/>
  </r>
  <r>
    <s v="VT017"/>
    <s v="Phụ tùng thân vỏ 17"/>
    <x v="4"/>
    <x v="2"/>
    <x v="0"/>
    <s v="WH_HN"/>
    <x v="0"/>
    <s v="Miền Bắc"/>
    <n v="1"/>
    <n v="180000"/>
    <n v="30"/>
    <d v="2026-05-17T00:00:00"/>
    <b v="1"/>
    <b v="0"/>
    <b v="0"/>
    <n v="0"/>
    <b v="0"/>
    <n v="0"/>
    <n v="1"/>
    <n v="0"/>
  </r>
  <r>
    <s v="VT017"/>
    <s v="Phụ tùng thân vỏ 17"/>
    <x v="4"/>
    <x v="2"/>
    <x v="0"/>
    <s v="WH_DA"/>
    <x v="1"/>
    <s v="Miền Bắc"/>
    <n v="22"/>
    <n v="3960000"/>
    <n v="20"/>
    <d v="2025-12-25T00:00:00"/>
    <b v="0"/>
    <b v="0"/>
    <b v="0"/>
    <n v="0"/>
    <b v="0"/>
    <n v="0"/>
    <n v="0"/>
    <n v="0"/>
  </r>
  <r>
    <s v="VT017"/>
    <s v="Phụ tùng thân vỏ 17"/>
    <x v="4"/>
    <x v="2"/>
    <x v="0"/>
    <s v="WH_DN"/>
    <x v="2"/>
    <s v="Miền Trung"/>
    <n v="86"/>
    <n v="15480000"/>
    <n v="20"/>
    <d v="2026-03-04T00:00:00"/>
    <b v="0"/>
    <b v="0"/>
    <b v="0"/>
    <n v="0"/>
    <b v="0"/>
    <n v="0"/>
    <n v="0"/>
    <n v="0"/>
  </r>
  <r>
    <s v="VT017"/>
    <s v="Phụ tùng thân vỏ 17"/>
    <x v="4"/>
    <x v="2"/>
    <x v="0"/>
    <s v="WH_HCM"/>
    <x v="3"/>
    <s v="Miền Nam"/>
    <n v="107"/>
    <n v="19260000"/>
    <n v="10"/>
    <d v="2026-03-18T00:00:00"/>
    <b v="0"/>
    <b v="0"/>
    <b v="0"/>
    <n v="0"/>
    <b v="0"/>
    <n v="0"/>
    <n v="0"/>
    <n v="0"/>
  </r>
  <r>
    <s v="VT018"/>
    <s v="Hóa chất 18"/>
    <x v="5"/>
    <x v="2"/>
    <x v="0"/>
    <s v="WH_HN"/>
    <x v="0"/>
    <s v="Miền Bắc"/>
    <n v="-7"/>
    <n v="-3360000"/>
    <n v="10"/>
    <d v="2026-01-23T00:00:00"/>
    <b v="1"/>
    <b v="1"/>
    <b v="0"/>
    <n v="0"/>
    <b v="0"/>
    <n v="0"/>
    <n v="1"/>
    <n v="1"/>
  </r>
  <r>
    <s v="VT018"/>
    <s v="Hóa chất 18"/>
    <x v="5"/>
    <x v="2"/>
    <x v="0"/>
    <s v="WH_DA"/>
    <x v="1"/>
    <s v="Miền Bắc"/>
    <n v="98"/>
    <n v="47040000"/>
    <n v="20"/>
    <d v="2026-04-23T00:00:00"/>
    <b v="0"/>
    <b v="0"/>
    <b v="0"/>
    <n v="0"/>
    <b v="0"/>
    <n v="0"/>
    <n v="0"/>
    <n v="0"/>
  </r>
  <r>
    <s v="VT018"/>
    <s v="Hóa chất 18"/>
    <x v="5"/>
    <x v="2"/>
    <x v="0"/>
    <s v="WH_DN"/>
    <x v="2"/>
    <s v="Miền Trung"/>
    <n v="-1"/>
    <n v="-480000"/>
    <n v="20"/>
    <d v="2026-06-02T00:00:00"/>
    <b v="1"/>
    <b v="1"/>
    <b v="0"/>
    <n v="0"/>
    <b v="0"/>
    <n v="0"/>
    <n v="1"/>
    <n v="1"/>
  </r>
  <r>
    <s v="VT018"/>
    <s v="Hóa chất 18"/>
    <x v="5"/>
    <x v="2"/>
    <x v="0"/>
    <s v="WH_HCM"/>
    <x v="3"/>
    <s v="Miền Nam"/>
    <n v="1"/>
    <n v="480000"/>
    <n v="30"/>
    <d v="2025-11-27T00:00:00"/>
    <b v="1"/>
    <b v="0"/>
    <b v="0"/>
    <n v="0"/>
    <b v="0"/>
    <n v="0"/>
    <n v="1"/>
    <n v="0"/>
  </r>
  <r>
    <s v="VT019"/>
    <s v="Dầu nhớt 19"/>
    <x v="0"/>
    <x v="1"/>
    <x v="0"/>
    <s v="WH_HN"/>
    <x v="0"/>
    <s v="Miền Bắc"/>
    <n v="85"/>
    <n v="76500000"/>
    <n v="10"/>
    <d v="2026-04-30T00:00:00"/>
    <b v="0"/>
    <b v="0"/>
    <b v="1"/>
    <n v="76500000"/>
    <b v="0"/>
    <n v="0"/>
    <n v="0"/>
    <n v="0"/>
  </r>
  <r>
    <s v="VT019"/>
    <s v="Dầu nhớt 19"/>
    <x v="0"/>
    <x v="1"/>
    <x v="0"/>
    <s v="WH_DA"/>
    <x v="1"/>
    <s v="Miền Bắc"/>
    <n v="12"/>
    <n v="10800000"/>
    <n v="20"/>
    <d v="2025-12-22T00:00:00"/>
    <b v="1"/>
    <b v="0"/>
    <b v="1"/>
    <n v="10800000"/>
    <b v="0"/>
    <n v="0"/>
    <n v="1"/>
    <n v="0"/>
  </r>
  <r>
    <s v="VT019"/>
    <s v="Dầu nhớt 19"/>
    <x v="0"/>
    <x v="1"/>
    <x v="0"/>
    <s v="WH_DN"/>
    <x v="2"/>
    <s v="Miền Trung"/>
    <n v="53"/>
    <n v="47700000"/>
    <n v="10"/>
    <d v="2025-11-29T00:00:00"/>
    <b v="0"/>
    <b v="0"/>
    <b v="1"/>
    <n v="47700000"/>
    <b v="0"/>
    <n v="0"/>
    <n v="0"/>
    <n v="0"/>
  </r>
  <r>
    <s v="VT019"/>
    <s v="Dầu nhớt 19"/>
    <x v="0"/>
    <x v="1"/>
    <x v="0"/>
    <s v="WH_HCM"/>
    <x v="3"/>
    <s v="Miền Nam"/>
    <n v="71"/>
    <n v="63900000"/>
    <n v="20"/>
    <d v="2026-01-17T00:00:00"/>
    <b v="0"/>
    <b v="0"/>
    <b v="1"/>
    <n v="63900000"/>
    <b v="0"/>
    <n v="0"/>
    <n v="0"/>
    <n v="0"/>
  </r>
  <r>
    <s v="VT020"/>
    <s v="Ắc quy 20"/>
    <x v="1"/>
    <x v="0"/>
    <x v="0"/>
    <s v="WH_HN"/>
    <x v="0"/>
    <s v="Miền Bắc"/>
    <n v="69"/>
    <n v="44850000"/>
    <n v="50"/>
    <d v="2026-03-08T00:00:00"/>
    <b v="0"/>
    <b v="0"/>
    <b v="0"/>
    <n v="0"/>
    <b v="0"/>
    <n v="0"/>
    <n v="0"/>
    <n v="0"/>
  </r>
  <r>
    <s v="VT020"/>
    <s v="Ắc quy 20"/>
    <x v="1"/>
    <x v="0"/>
    <x v="0"/>
    <s v="WH_DA"/>
    <x v="1"/>
    <s v="Miền Bắc"/>
    <n v="27"/>
    <n v="17550000"/>
    <n v="10"/>
    <d v="2026-03-26T00:00:00"/>
    <b v="0"/>
    <b v="0"/>
    <b v="0"/>
    <n v="0"/>
    <b v="0"/>
    <n v="0"/>
    <n v="0"/>
    <n v="0"/>
  </r>
  <r>
    <s v="VT020"/>
    <s v="Ắc quy 20"/>
    <x v="1"/>
    <x v="0"/>
    <x v="0"/>
    <s v="WH_DN"/>
    <x v="2"/>
    <s v="Miền Trung"/>
    <n v="1"/>
    <n v="650000"/>
    <n v="50"/>
    <d v="2026-01-09T00:00:00"/>
    <b v="1"/>
    <b v="0"/>
    <b v="0"/>
    <n v="0"/>
    <b v="0"/>
    <n v="0"/>
    <n v="1"/>
    <n v="0"/>
  </r>
  <r>
    <s v="VT020"/>
    <s v="Ắc quy 20"/>
    <x v="1"/>
    <x v="0"/>
    <x v="0"/>
    <s v="WH_HCM"/>
    <x v="3"/>
    <s v="Miền Nam"/>
    <n v="49"/>
    <n v="31850000"/>
    <n v="20"/>
    <d v="2026-02-28T00:00:00"/>
    <b v="0"/>
    <b v="0"/>
    <b v="0"/>
    <n v="0"/>
    <b v="0"/>
    <n v="0"/>
    <n v="0"/>
    <n v="0"/>
  </r>
  <r>
    <s v="VT021"/>
    <s v="Lốp 21"/>
    <x v="2"/>
    <x v="1"/>
    <x v="1"/>
    <s v="WH_HN"/>
    <x v="0"/>
    <s v="Miền Bắc"/>
    <n v="151"/>
    <n v="52850000"/>
    <n v="30"/>
    <d v="2026-06-14T00:00:00"/>
    <b v="0"/>
    <b v="0"/>
    <b v="1"/>
    <n v="52850000"/>
    <b v="1"/>
    <n v="52850000"/>
    <n v="0"/>
    <n v="0"/>
  </r>
  <r>
    <s v="VT021"/>
    <s v="Lốp 21"/>
    <x v="2"/>
    <x v="1"/>
    <x v="1"/>
    <s v="WH_DA"/>
    <x v="1"/>
    <s v="Miền Bắc"/>
    <n v="185"/>
    <n v="64750000"/>
    <n v="30"/>
    <d v="2025-12-11T00:00:00"/>
    <b v="0"/>
    <b v="0"/>
    <b v="1"/>
    <n v="64750000"/>
    <b v="1"/>
    <n v="64750000"/>
    <n v="0"/>
    <n v="0"/>
  </r>
  <r>
    <s v="VT021"/>
    <s v="Lốp 21"/>
    <x v="2"/>
    <x v="1"/>
    <x v="1"/>
    <s v="WH_DN"/>
    <x v="2"/>
    <s v="Miền Trung"/>
    <n v="217"/>
    <n v="75950000"/>
    <n v="20"/>
    <d v="2026-04-22T00:00:00"/>
    <b v="0"/>
    <b v="0"/>
    <b v="1"/>
    <n v="75950000"/>
    <b v="1"/>
    <n v="75950000"/>
    <n v="0"/>
    <n v="0"/>
  </r>
  <r>
    <s v="VT021"/>
    <s v="Lốp 21"/>
    <x v="2"/>
    <x v="1"/>
    <x v="1"/>
    <s v="WH_HCM"/>
    <x v="3"/>
    <s v="Miền Nam"/>
    <n v="163"/>
    <n v="57050000"/>
    <n v="50"/>
    <d v="2026-01-03T00:00:00"/>
    <b v="0"/>
    <b v="0"/>
    <b v="1"/>
    <n v="57050000"/>
    <b v="1"/>
    <n v="57050000"/>
    <n v="0"/>
    <n v="0"/>
  </r>
  <r>
    <s v="VT022"/>
    <s v="Phụ tùng nhanh 22"/>
    <x v="3"/>
    <x v="2"/>
    <x v="0"/>
    <s v="WH_HN"/>
    <x v="0"/>
    <s v="Miền Bắc"/>
    <n v="98"/>
    <n v="17640000"/>
    <n v="20"/>
    <d v="2026-04-01T00:00:00"/>
    <b v="0"/>
    <b v="0"/>
    <b v="0"/>
    <n v="0"/>
    <b v="0"/>
    <n v="0"/>
    <n v="0"/>
    <n v="0"/>
  </r>
  <r>
    <s v="VT022"/>
    <s v="Phụ tùng nhanh 22"/>
    <x v="3"/>
    <x v="2"/>
    <x v="0"/>
    <s v="WH_DA"/>
    <x v="1"/>
    <s v="Miền Bắc"/>
    <n v="97"/>
    <n v="17460000"/>
    <n v="30"/>
    <d v="2025-11-20T00:00:00"/>
    <b v="0"/>
    <b v="0"/>
    <b v="0"/>
    <n v="0"/>
    <b v="0"/>
    <n v="0"/>
    <n v="0"/>
    <n v="0"/>
  </r>
  <r>
    <s v="VT022"/>
    <s v="Phụ tùng nhanh 22"/>
    <x v="3"/>
    <x v="2"/>
    <x v="0"/>
    <s v="WH_DN"/>
    <x v="2"/>
    <s v="Miền Trung"/>
    <n v="8"/>
    <n v="1440000"/>
    <n v="30"/>
    <d v="2026-06-21T00:00:00"/>
    <b v="1"/>
    <b v="0"/>
    <b v="0"/>
    <n v="0"/>
    <b v="0"/>
    <n v="0"/>
    <n v="1"/>
    <n v="0"/>
  </r>
  <r>
    <s v="VT022"/>
    <s v="Phụ tùng nhanh 22"/>
    <x v="3"/>
    <x v="2"/>
    <x v="0"/>
    <s v="WH_HCM"/>
    <x v="3"/>
    <s v="Miền Nam"/>
    <n v="74"/>
    <n v="13320000"/>
    <n v="50"/>
    <d v="2026-03-20T00:00:00"/>
    <b v="0"/>
    <b v="0"/>
    <b v="0"/>
    <n v="0"/>
    <b v="0"/>
    <n v="0"/>
    <n v="0"/>
    <n v="0"/>
  </r>
  <r>
    <s v="VT023"/>
    <s v="Phụ tùng thân vỏ 23"/>
    <x v="4"/>
    <x v="2"/>
    <x v="0"/>
    <s v="WH_HN"/>
    <x v="0"/>
    <s v="Miền Bắc"/>
    <n v="94"/>
    <n v="169200000"/>
    <n v="20"/>
    <d v="2026-02-17T00:00:00"/>
    <b v="0"/>
    <b v="0"/>
    <b v="1"/>
    <n v="169200000"/>
    <b v="0"/>
    <n v="0"/>
    <n v="0"/>
    <n v="0"/>
  </r>
  <r>
    <s v="VT023"/>
    <s v="Phụ tùng thân vỏ 23"/>
    <x v="4"/>
    <x v="2"/>
    <x v="0"/>
    <s v="WH_DA"/>
    <x v="1"/>
    <s v="Miền Bắc"/>
    <n v="1"/>
    <n v="1800000"/>
    <n v="20"/>
    <d v="2026-06-20T00:00:00"/>
    <b v="1"/>
    <b v="0"/>
    <b v="1"/>
    <n v="1800000"/>
    <b v="0"/>
    <n v="0"/>
    <n v="1"/>
    <n v="0"/>
  </r>
  <r>
    <s v="VT023"/>
    <s v="Phụ tùng thân vỏ 23"/>
    <x v="4"/>
    <x v="2"/>
    <x v="0"/>
    <s v="WH_DN"/>
    <x v="2"/>
    <s v="Miền Trung"/>
    <n v="114"/>
    <n v="205200000"/>
    <n v="10"/>
    <d v="2026-04-07T00:00:00"/>
    <b v="0"/>
    <b v="0"/>
    <b v="1"/>
    <n v="205200000"/>
    <b v="0"/>
    <n v="0"/>
    <n v="0"/>
    <n v="0"/>
  </r>
  <r>
    <s v="VT023"/>
    <s v="Phụ tùng thân vỏ 23"/>
    <x v="4"/>
    <x v="2"/>
    <x v="0"/>
    <s v="WH_HCM"/>
    <x v="3"/>
    <s v="Miền Nam"/>
    <n v="54"/>
    <n v="97200000"/>
    <n v="20"/>
    <d v="2026-01-18T00:00:00"/>
    <b v="0"/>
    <b v="0"/>
    <b v="1"/>
    <n v="97200000"/>
    <b v="0"/>
    <n v="0"/>
    <n v="0"/>
    <n v="0"/>
  </r>
  <r>
    <s v="VT024"/>
    <s v="Hóa chất 24"/>
    <x v="5"/>
    <x v="1"/>
    <x v="0"/>
    <s v="WH_HN"/>
    <x v="0"/>
    <s v="Miền Bắc"/>
    <n v="17"/>
    <n v="20400000"/>
    <n v="30"/>
    <d v="2026-02-18T00:00:00"/>
    <b v="1"/>
    <b v="0"/>
    <b v="0"/>
    <n v="0"/>
    <b v="0"/>
    <n v="0"/>
    <n v="1"/>
    <n v="0"/>
  </r>
  <r>
    <s v="VT024"/>
    <s v="Hóa chất 24"/>
    <x v="5"/>
    <x v="1"/>
    <x v="0"/>
    <s v="WH_DA"/>
    <x v="1"/>
    <s v="Miền Bắc"/>
    <n v="19"/>
    <n v="22800000"/>
    <n v="50"/>
    <d v="2026-05-04T00:00:00"/>
    <b v="1"/>
    <b v="0"/>
    <b v="0"/>
    <n v="0"/>
    <b v="0"/>
    <n v="0"/>
    <n v="1"/>
    <n v="0"/>
  </r>
  <r>
    <s v="VT024"/>
    <s v="Hóa chất 24"/>
    <x v="5"/>
    <x v="1"/>
    <x v="0"/>
    <s v="WH_DN"/>
    <x v="2"/>
    <s v="Miền Trung"/>
    <n v="30"/>
    <n v="36000000"/>
    <n v="50"/>
    <d v="2025-12-18T00:00:00"/>
    <b v="1"/>
    <b v="0"/>
    <b v="0"/>
    <n v="0"/>
    <b v="0"/>
    <n v="0"/>
    <n v="1"/>
    <n v="0"/>
  </r>
  <r>
    <s v="VT024"/>
    <s v="Hóa chất 24"/>
    <x v="5"/>
    <x v="1"/>
    <x v="0"/>
    <s v="WH_HCM"/>
    <x v="3"/>
    <s v="Miền Nam"/>
    <n v="17"/>
    <n v="20400000"/>
    <n v="30"/>
    <d v="2026-04-05T00:00:00"/>
    <b v="1"/>
    <b v="0"/>
    <b v="0"/>
    <n v="0"/>
    <b v="0"/>
    <n v="0"/>
    <n v="1"/>
    <n v="0"/>
  </r>
  <r>
    <s v="VT025"/>
    <s v="Dầu nhớt 25"/>
    <x v="0"/>
    <x v="0"/>
    <x v="0"/>
    <s v="WH_HN"/>
    <x v="0"/>
    <s v="Miền Bắc"/>
    <n v="97"/>
    <n v="174600000"/>
    <n v="10"/>
    <d v="2026-02-12T00:00:00"/>
    <b v="0"/>
    <b v="0"/>
    <b v="0"/>
    <n v="0"/>
    <b v="0"/>
    <n v="0"/>
    <n v="0"/>
    <n v="0"/>
  </r>
  <r>
    <s v="VT025"/>
    <s v="Dầu nhớt 25"/>
    <x v="0"/>
    <x v="0"/>
    <x v="0"/>
    <s v="WH_DA"/>
    <x v="1"/>
    <s v="Miền Bắc"/>
    <n v="53"/>
    <n v="95400000"/>
    <n v="30"/>
    <d v="2025-12-15T00:00:00"/>
    <b v="0"/>
    <b v="0"/>
    <b v="0"/>
    <n v="0"/>
    <b v="0"/>
    <n v="0"/>
    <n v="0"/>
    <n v="0"/>
  </r>
  <r>
    <s v="VT025"/>
    <s v="Dầu nhớt 25"/>
    <x v="0"/>
    <x v="0"/>
    <x v="0"/>
    <s v="WH_DN"/>
    <x v="2"/>
    <s v="Miền Trung"/>
    <n v="108"/>
    <n v="194400000"/>
    <n v="30"/>
    <d v="2026-03-30T00:00:00"/>
    <b v="0"/>
    <b v="0"/>
    <b v="0"/>
    <n v="0"/>
    <b v="0"/>
    <n v="0"/>
    <n v="0"/>
    <n v="0"/>
  </r>
  <r>
    <s v="VT025"/>
    <s v="Dầu nhớt 25"/>
    <x v="0"/>
    <x v="0"/>
    <x v="0"/>
    <s v="WH_HCM"/>
    <x v="3"/>
    <s v="Miền Nam"/>
    <n v="69"/>
    <n v="124200000"/>
    <n v="10"/>
    <d v="2025-11-05T00:00:00"/>
    <b v="0"/>
    <b v="0"/>
    <b v="0"/>
    <n v="0"/>
    <b v="0"/>
    <n v="0"/>
    <n v="0"/>
    <n v="0"/>
  </r>
  <r>
    <s v="VT026"/>
    <s v="Ắc quy 26"/>
    <x v="1"/>
    <x v="0"/>
    <x v="0"/>
    <s v="WH_HN"/>
    <x v="0"/>
    <s v="Miền Bắc"/>
    <n v="31"/>
    <n v="3720000"/>
    <n v="20"/>
    <d v="2026-01-21T00:00:00"/>
    <b v="0"/>
    <b v="0"/>
    <b v="0"/>
    <n v="0"/>
    <b v="0"/>
    <n v="0"/>
    <n v="0"/>
    <n v="0"/>
  </r>
  <r>
    <s v="VT026"/>
    <s v="Ắc quy 26"/>
    <x v="1"/>
    <x v="0"/>
    <x v="0"/>
    <s v="WH_DA"/>
    <x v="1"/>
    <s v="Miền Bắc"/>
    <n v="66"/>
    <n v="7920000"/>
    <n v="30"/>
    <d v="2026-05-10T00:00:00"/>
    <b v="0"/>
    <b v="0"/>
    <b v="0"/>
    <n v="0"/>
    <b v="0"/>
    <n v="0"/>
    <n v="0"/>
    <n v="0"/>
  </r>
  <r>
    <s v="VT026"/>
    <s v="Ắc quy 26"/>
    <x v="1"/>
    <x v="0"/>
    <x v="0"/>
    <s v="WH_DN"/>
    <x v="2"/>
    <s v="Miền Trung"/>
    <n v="0"/>
    <n v="0"/>
    <n v="10"/>
    <d v="2025-11-15T00:00:00"/>
    <b v="1"/>
    <b v="0"/>
    <b v="0"/>
    <n v="0"/>
    <b v="0"/>
    <n v="0"/>
    <n v="1"/>
    <n v="0"/>
  </r>
  <r>
    <s v="VT026"/>
    <s v="Ắc quy 26"/>
    <x v="1"/>
    <x v="0"/>
    <x v="0"/>
    <s v="WH_HCM"/>
    <x v="3"/>
    <s v="Miền Nam"/>
    <n v="24"/>
    <n v="2880000"/>
    <n v="10"/>
    <d v="2026-01-14T00:00:00"/>
    <b v="0"/>
    <b v="0"/>
    <b v="0"/>
    <n v="0"/>
    <b v="0"/>
    <n v="0"/>
    <n v="0"/>
    <n v="0"/>
  </r>
  <r>
    <s v="VT027"/>
    <s v="Lốp 27"/>
    <x v="2"/>
    <x v="2"/>
    <x v="0"/>
    <s v="WH_HN"/>
    <x v="0"/>
    <s v="Miền Bắc"/>
    <n v="120"/>
    <n v="108000000"/>
    <n v="20"/>
    <d v="2026-05-24T00:00:00"/>
    <b v="0"/>
    <b v="0"/>
    <b v="1"/>
    <n v="108000000"/>
    <b v="0"/>
    <n v="0"/>
    <n v="0"/>
    <n v="0"/>
  </r>
  <r>
    <s v="VT027"/>
    <s v="Lốp 27"/>
    <x v="2"/>
    <x v="2"/>
    <x v="0"/>
    <s v="WH_DA"/>
    <x v="1"/>
    <s v="Miền Bắc"/>
    <n v="75"/>
    <n v="67500000"/>
    <n v="20"/>
    <d v="2026-04-26T00:00:00"/>
    <b v="0"/>
    <b v="0"/>
    <b v="1"/>
    <n v="67500000"/>
    <b v="0"/>
    <n v="0"/>
    <n v="0"/>
    <n v="0"/>
  </r>
  <r>
    <s v="VT027"/>
    <s v="Lốp 27"/>
    <x v="2"/>
    <x v="2"/>
    <x v="0"/>
    <s v="WH_DN"/>
    <x v="2"/>
    <s v="Miền Trung"/>
    <n v="54"/>
    <n v="48600000"/>
    <n v="50"/>
    <d v="2026-04-07T00:00:00"/>
    <b v="0"/>
    <b v="0"/>
    <b v="1"/>
    <n v="48600000"/>
    <b v="0"/>
    <n v="0"/>
    <n v="0"/>
    <n v="0"/>
  </r>
  <r>
    <s v="VT027"/>
    <s v="Lốp 27"/>
    <x v="2"/>
    <x v="2"/>
    <x v="0"/>
    <s v="WH_HCM"/>
    <x v="3"/>
    <s v="Miền Nam"/>
    <n v="25"/>
    <n v="22500000"/>
    <n v="20"/>
    <d v="2026-03-09T00:00:00"/>
    <b v="0"/>
    <b v="0"/>
    <b v="1"/>
    <n v="22500000"/>
    <b v="0"/>
    <n v="0"/>
    <n v="0"/>
    <n v="0"/>
  </r>
  <r>
    <s v="VT028"/>
    <s v="Phụ tùng nhanh 28"/>
    <x v="3"/>
    <x v="0"/>
    <x v="0"/>
    <s v="WH_HN"/>
    <x v="0"/>
    <s v="Miền Bắc"/>
    <n v="31"/>
    <n v="20150000"/>
    <n v="30"/>
    <d v="2026-04-13T00:00:00"/>
    <b v="0"/>
    <b v="0"/>
    <b v="0"/>
    <n v="0"/>
    <b v="0"/>
    <n v="0"/>
    <n v="0"/>
    <n v="0"/>
  </r>
  <r>
    <s v="VT028"/>
    <s v="Phụ tùng nhanh 28"/>
    <x v="3"/>
    <x v="0"/>
    <x v="0"/>
    <s v="WH_DA"/>
    <x v="1"/>
    <s v="Miền Bắc"/>
    <n v="81"/>
    <n v="52650000"/>
    <n v="20"/>
    <d v="2026-04-17T00:00:00"/>
    <b v="0"/>
    <b v="0"/>
    <b v="0"/>
    <n v="0"/>
    <b v="0"/>
    <n v="0"/>
    <n v="0"/>
    <n v="0"/>
  </r>
  <r>
    <s v="VT028"/>
    <s v="Phụ tùng nhanh 28"/>
    <x v="3"/>
    <x v="0"/>
    <x v="0"/>
    <s v="WH_DN"/>
    <x v="2"/>
    <s v="Miền Trung"/>
    <n v="61"/>
    <n v="39650000"/>
    <n v="10"/>
    <d v="2026-03-25T00:00:00"/>
    <b v="0"/>
    <b v="0"/>
    <b v="0"/>
    <n v="0"/>
    <b v="0"/>
    <n v="0"/>
    <n v="0"/>
    <n v="0"/>
  </r>
  <r>
    <s v="VT028"/>
    <s v="Phụ tùng nhanh 28"/>
    <x v="3"/>
    <x v="0"/>
    <x v="0"/>
    <s v="WH_HCM"/>
    <x v="3"/>
    <s v="Miền Nam"/>
    <n v="21"/>
    <n v="13650000"/>
    <n v="50"/>
    <d v="2026-03-05T00:00:00"/>
    <b v="1"/>
    <b v="0"/>
    <b v="0"/>
    <n v="0"/>
    <b v="0"/>
    <n v="0"/>
    <n v="1"/>
    <n v="0"/>
  </r>
  <r>
    <s v="VT029"/>
    <s v="Phụ tùng thân vỏ 29"/>
    <x v="4"/>
    <x v="2"/>
    <x v="0"/>
    <s v="WH_HN"/>
    <x v="0"/>
    <s v="Miền Bắc"/>
    <n v="78"/>
    <n v="70200000"/>
    <n v="50"/>
    <d v="2025-12-13T00:00:00"/>
    <b v="0"/>
    <b v="0"/>
    <b v="0"/>
    <n v="0"/>
    <b v="0"/>
    <n v="0"/>
    <n v="0"/>
    <n v="0"/>
  </r>
  <r>
    <s v="VT029"/>
    <s v="Phụ tùng thân vỏ 29"/>
    <x v="4"/>
    <x v="2"/>
    <x v="0"/>
    <s v="WH_DA"/>
    <x v="1"/>
    <s v="Miền Bắc"/>
    <n v="101"/>
    <n v="90900000"/>
    <n v="50"/>
    <d v="2026-06-20T00:00:00"/>
    <b v="0"/>
    <b v="0"/>
    <b v="0"/>
    <n v="0"/>
    <b v="0"/>
    <n v="0"/>
    <n v="0"/>
    <n v="0"/>
  </r>
  <r>
    <s v="VT029"/>
    <s v="Phụ tùng thân vỏ 29"/>
    <x v="4"/>
    <x v="2"/>
    <x v="0"/>
    <s v="WH_DN"/>
    <x v="2"/>
    <s v="Miền Trung"/>
    <n v="54"/>
    <n v="48600000"/>
    <n v="10"/>
    <d v="2025-12-13T00:00:00"/>
    <b v="0"/>
    <b v="0"/>
    <b v="0"/>
    <n v="0"/>
    <b v="0"/>
    <n v="0"/>
    <n v="0"/>
    <n v="0"/>
  </r>
  <r>
    <s v="VT029"/>
    <s v="Phụ tùng thân vỏ 29"/>
    <x v="4"/>
    <x v="2"/>
    <x v="0"/>
    <s v="WH_HCM"/>
    <x v="3"/>
    <s v="Miền Nam"/>
    <n v="38"/>
    <n v="34200000"/>
    <n v="20"/>
    <d v="2026-02-04T00:00:00"/>
    <b v="0"/>
    <b v="0"/>
    <b v="0"/>
    <n v="0"/>
    <b v="0"/>
    <n v="0"/>
    <n v="0"/>
    <n v="0"/>
  </r>
  <r>
    <s v="VT030"/>
    <s v="Hóa chất 30"/>
    <x v="5"/>
    <x v="1"/>
    <x v="0"/>
    <s v="WH_HN"/>
    <x v="0"/>
    <s v="Miền Bắc"/>
    <n v="32"/>
    <n v="15360000"/>
    <n v="50"/>
    <d v="2026-02-27T00:00:00"/>
    <b v="1"/>
    <b v="0"/>
    <b v="0"/>
    <n v="0"/>
    <b v="0"/>
    <n v="0"/>
    <n v="1"/>
    <n v="0"/>
  </r>
  <r>
    <s v="VT030"/>
    <s v="Hóa chất 30"/>
    <x v="5"/>
    <x v="1"/>
    <x v="0"/>
    <s v="WH_DA"/>
    <x v="1"/>
    <s v="Miền Bắc"/>
    <n v="36"/>
    <n v="17280000"/>
    <n v="50"/>
    <d v="2026-02-02T00:00:00"/>
    <b v="1"/>
    <b v="0"/>
    <b v="0"/>
    <n v="0"/>
    <b v="0"/>
    <n v="0"/>
    <n v="1"/>
    <n v="0"/>
  </r>
  <r>
    <s v="VT030"/>
    <s v="Hóa chất 30"/>
    <x v="5"/>
    <x v="1"/>
    <x v="0"/>
    <s v="WH_DN"/>
    <x v="2"/>
    <s v="Miền Trung"/>
    <n v="9"/>
    <n v="4320000"/>
    <n v="30"/>
    <d v="2026-05-22T00:00:00"/>
    <b v="1"/>
    <b v="0"/>
    <b v="0"/>
    <n v="0"/>
    <b v="0"/>
    <n v="0"/>
    <n v="1"/>
    <n v="0"/>
  </r>
  <r>
    <s v="VT030"/>
    <s v="Hóa chất 30"/>
    <x v="5"/>
    <x v="1"/>
    <x v="0"/>
    <s v="WH_HCM"/>
    <x v="3"/>
    <s v="Miền Nam"/>
    <n v="25"/>
    <n v="12000000"/>
    <n v="20"/>
    <d v="2025-11-03T00:00:00"/>
    <b v="0"/>
    <b v="0"/>
    <b v="0"/>
    <n v="0"/>
    <b v="0"/>
    <n v="0"/>
    <n v="0"/>
    <n v="0"/>
  </r>
  <r>
    <s v="VT031"/>
    <s v="Dầu nhớt 31"/>
    <x v="0"/>
    <x v="1"/>
    <x v="0"/>
    <s v="WH_HN"/>
    <x v="0"/>
    <s v="Miền Bắc"/>
    <n v="1"/>
    <n v="1800000"/>
    <n v="30"/>
    <d v="2026-02-20T00:00:00"/>
    <b v="1"/>
    <b v="0"/>
    <b v="0"/>
    <n v="0"/>
    <b v="0"/>
    <n v="0"/>
    <n v="1"/>
    <n v="0"/>
  </r>
  <r>
    <s v="VT031"/>
    <s v="Dầu nhớt 31"/>
    <x v="0"/>
    <x v="1"/>
    <x v="0"/>
    <s v="WH_DA"/>
    <x v="1"/>
    <s v="Miền Bắc"/>
    <n v="53"/>
    <n v="95400000"/>
    <n v="50"/>
    <d v="2025-12-17T00:00:00"/>
    <b v="0"/>
    <b v="0"/>
    <b v="0"/>
    <n v="0"/>
    <b v="0"/>
    <n v="0"/>
    <n v="0"/>
    <n v="0"/>
  </r>
  <r>
    <s v="VT031"/>
    <s v="Dầu nhớt 31"/>
    <x v="0"/>
    <x v="1"/>
    <x v="0"/>
    <s v="WH_DN"/>
    <x v="2"/>
    <s v="Miền Trung"/>
    <n v="62"/>
    <n v="111600000"/>
    <n v="30"/>
    <d v="2026-01-12T00:00:00"/>
    <b v="0"/>
    <b v="0"/>
    <b v="0"/>
    <n v="0"/>
    <b v="0"/>
    <n v="0"/>
    <n v="0"/>
    <n v="0"/>
  </r>
  <r>
    <s v="VT031"/>
    <s v="Dầu nhớt 31"/>
    <x v="0"/>
    <x v="1"/>
    <x v="0"/>
    <s v="WH_HCM"/>
    <x v="3"/>
    <s v="Miền Nam"/>
    <n v="9"/>
    <n v="16200000"/>
    <n v="50"/>
    <d v="2025-11-11T00:00:00"/>
    <b v="1"/>
    <b v="0"/>
    <b v="0"/>
    <n v="0"/>
    <b v="0"/>
    <n v="0"/>
    <n v="1"/>
    <n v="0"/>
  </r>
  <r>
    <s v="VT032"/>
    <s v="Ắc quy 32"/>
    <x v="1"/>
    <x v="0"/>
    <x v="0"/>
    <s v="WH_HN"/>
    <x v="0"/>
    <s v="Miền Bắc"/>
    <n v="117"/>
    <n v="105300000"/>
    <n v="10"/>
    <d v="2026-03-19T00:00:00"/>
    <b v="0"/>
    <b v="0"/>
    <b v="0"/>
    <n v="0"/>
    <b v="0"/>
    <n v="0"/>
    <n v="0"/>
    <n v="0"/>
  </r>
  <r>
    <s v="VT032"/>
    <s v="Ắc quy 32"/>
    <x v="1"/>
    <x v="0"/>
    <x v="0"/>
    <s v="WH_DA"/>
    <x v="1"/>
    <s v="Miền Bắc"/>
    <n v="20"/>
    <n v="18000000"/>
    <n v="20"/>
    <d v="2025-12-12T00:00:00"/>
    <b v="0"/>
    <b v="0"/>
    <b v="0"/>
    <n v="0"/>
    <b v="0"/>
    <n v="0"/>
    <n v="0"/>
    <n v="0"/>
  </r>
  <r>
    <s v="VT032"/>
    <s v="Ắc quy 32"/>
    <x v="1"/>
    <x v="0"/>
    <x v="0"/>
    <s v="WH_DN"/>
    <x v="2"/>
    <s v="Miền Trung"/>
    <n v="32"/>
    <n v="28800000"/>
    <n v="30"/>
    <d v="2026-02-15T00:00:00"/>
    <b v="0"/>
    <b v="0"/>
    <b v="0"/>
    <n v="0"/>
    <b v="0"/>
    <n v="0"/>
    <n v="0"/>
    <n v="0"/>
  </r>
  <r>
    <s v="VT032"/>
    <s v="Ắc quy 32"/>
    <x v="1"/>
    <x v="0"/>
    <x v="0"/>
    <s v="WH_HCM"/>
    <x v="3"/>
    <s v="Miền Nam"/>
    <n v="81"/>
    <n v="72900000"/>
    <n v="30"/>
    <d v="2025-12-29T00:00:00"/>
    <b v="0"/>
    <b v="0"/>
    <b v="0"/>
    <n v="0"/>
    <b v="0"/>
    <n v="0"/>
    <n v="0"/>
    <n v="0"/>
  </r>
  <r>
    <s v="VT033"/>
    <s v="Lốp 33"/>
    <x v="2"/>
    <x v="0"/>
    <x v="0"/>
    <s v="WH_HN"/>
    <x v="0"/>
    <s v="Miền Bắc"/>
    <n v="49"/>
    <n v="17150000"/>
    <n v="50"/>
    <d v="2025-12-19T00:00:00"/>
    <b v="1"/>
    <b v="0"/>
    <b v="0"/>
    <n v="0"/>
    <b v="0"/>
    <n v="0"/>
    <n v="1"/>
    <n v="0"/>
  </r>
  <r>
    <s v="VT033"/>
    <s v="Lốp 33"/>
    <x v="2"/>
    <x v="0"/>
    <x v="0"/>
    <s v="WH_DA"/>
    <x v="1"/>
    <s v="Miền Bắc"/>
    <n v="61"/>
    <n v="21350000"/>
    <n v="10"/>
    <d v="2025-11-02T00:00:00"/>
    <b v="0"/>
    <b v="0"/>
    <b v="0"/>
    <n v="0"/>
    <b v="0"/>
    <n v="0"/>
    <n v="0"/>
    <n v="0"/>
  </r>
  <r>
    <s v="VT033"/>
    <s v="Lốp 33"/>
    <x v="2"/>
    <x v="0"/>
    <x v="0"/>
    <s v="WH_DN"/>
    <x v="2"/>
    <s v="Miền Trung"/>
    <n v="80"/>
    <n v="28000000"/>
    <n v="10"/>
    <d v="2025-12-29T00:00:00"/>
    <b v="0"/>
    <b v="0"/>
    <b v="0"/>
    <n v="0"/>
    <b v="0"/>
    <n v="0"/>
    <n v="0"/>
    <n v="0"/>
  </r>
  <r>
    <s v="VT033"/>
    <s v="Lốp 33"/>
    <x v="2"/>
    <x v="0"/>
    <x v="0"/>
    <s v="WH_HCM"/>
    <x v="3"/>
    <s v="Miền Nam"/>
    <n v="18"/>
    <n v="6300000"/>
    <n v="30"/>
    <d v="2026-01-22T00:00:00"/>
    <b v="1"/>
    <b v="0"/>
    <b v="0"/>
    <n v="0"/>
    <b v="0"/>
    <n v="0"/>
    <n v="1"/>
    <n v="0"/>
  </r>
  <r>
    <s v="VT034"/>
    <s v="Phụ tùng nhanh 34"/>
    <x v="3"/>
    <x v="2"/>
    <x v="0"/>
    <s v="WH_HN"/>
    <x v="0"/>
    <s v="Miền Bắc"/>
    <n v="87"/>
    <n v="15660000"/>
    <n v="20"/>
    <d v="2026-04-21T00:00:00"/>
    <b v="0"/>
    <b v="0"/>
    <b v="0"/>
    <n v="0"/>
    <b v="0"/>
    <n v="0"/>
    <n v="0"/>
    <n v="0"/>
  </r>
  <r>
    <s v="VT034"/>
    <s v="Phụ tùng nhanh 34"/>
    <x v="3"/>
    <x v="2"/>
    <x v="0"/>
    <s v="WH_DA"/>
    <x v="1"/>
    <s v="Miền Bắc"/>
    <n v="74"/>
    <n v="13320000"/>
    <n v="20"/>
    <d v="2026-06-22T00:00:00"/>
    <b v="0"/>
    <b v="0"/>
    <b v="0"/>
    <n v="0"/>
    <b v="0"/>
    <n v="0"/>
    <n v="0"/>
    <n v="0"/>
  </r>
  <r>
    <s v="VT034"/>
    <s v="Phụ tùng nhanh 34"/>
    <x v="3"/>
    <x v="2"/>
    <x v="0"/>
    <s v="WH_DN"/>
    <x v="2"/>
    <s v="Miền Trung"/>
    <n v="11"/>
    <n v="1980000"/>
    <n v="50"/>
    <d v="2026-03-16T00:00:00"/>
    <b v="1"/>
    <b v="0"/>
    <b v="0"/>
    <n v="0"/>
    <b v="0"/>
    <n v="0"/>
    <n v="1"/>
    <n v="0"/>
  </r>
  <r>
    <s v="VT034"/>
    <s v="Phụ tùng nhanh 34"/>
    <x v="3"/>
    <x v="2"/>
    <x v="0"/>
    <s v="WH_HCM"/>
    <x v="3"/>
    <s v="Miền Nam"/>
    <n v="115"/>
    <n v="20700000"/>
    <n v="10"/>
    <d v="2026-02-13T00:00:00"/>
    <b v="0"/>
    <b v="0"/>
    <b v="0"/>
    <n v="0"/>
    <b v="0"/>
    <n v="0"/>
    <n v="0"/>
    <n v="0"/>
  </r>
  <r>
    <s v="VT035"/>
    <s v="Phụ tùng thân vỏ 35"/>
    <x v="4"/>
    <x v="1"/>
    <x v="1"/>
    <s v="WH_HN"/>
    <x v="0"/>
    <s v="Miền Bắc"/>
    <n v="188"/>
    <n v="47000000"/>
    <n v="20"/>
    <d v="2025-11-25T00:00:00"/>
    <b v="0"/>
    <b v="0"/>
    <b v="1"/>
    <n v="47000000"/>
    <b v="1"/>
    <n v="47000000"/>
    <n v="0"/>
    <n v="0"/>
  </r>
  <r>
    <s v="VT035"/>
    <s v="Phụ tùng thân vỏ 35"/>
    <x v="4"/>
    <x v="1"/>
    <x v="1"/>
    <s v="WH_DA"/>
    <x v="1"/>
    <s v="Miền Bắc"/>
    <n v="157"/>
    <n v="39250000"/>
    <n v="50"/>
    <d v="2026-01-26T00:00:00"/>
    <b v="0"/>
    <b v="0"/>
    <b v="1"/>
    <n v="39250000"/>
    <b v="1"/>
    <n v="39250000"/>
    <n v="0"/>
    <n v="0"/>
  </r>
  <r>
    <s v="VT035"/>
    <s v="Phụ tùng thân vỏ 35"/>
    <x v="4"/>
    <x v="1"/>
    <x v="1"/>
    <s v="WH_DN"/>
    <x v="2"/>
    <s v="Miền Trung"/>
    <n v="102"/>
    <n v="25500000"/>
    <n v="10"/>
    <d v="2026-01-14T00:00:00"/>
    <b v="0"/>
    <b v="0"/>
    <b v="1"/>
    <n v="25500000"/>
    <b v="1"/>
    <n v="25500000"/>
    <n v="0"/>
    <n v="0"/>
  </r>
  <r>
    <s v="VT035"/>
    <s v="Phụ tùng thân vỏ 35"/>
    <x v="4"/>
    <x v="1"/>
    <x v="1"/>
    <s v="WH_HCM"/>
    <x v="3"/>
    <s v="Miền Nam"/>
    <n v="168"/>
    <n v="42000000"/>
    <n v="20"/>
    <d v="2026-04-18T00:00:00"/>
    <b v="0"/>
    <b v="0"/>
    <b v="1"/>
    <n v="42000000"/>
    <b v="1"/>
    <n v="42000000"/>
    <n v="0"/>
    <n v="0"/>
  </r>
  <r>
    <s v="VT036"/>
    <s v="Hóa chất 36"/>
    <x v="5"/>
    <x v="1"/>
    <x v="0"/>
    <s v="WH_HN"/>
    <x v="0"/>
    <s v="Miền Bắc"/>
    <n v="119"/>
    <n v="21420000"/>
    <n v="50"/>
    <d v="2025-12-29T00:00:00"/>
    <b v="0"/>
    <b v="0"/>
    <b v="0"/>
    <n v="0"/>
    <b v="0"/>
    <n v="0"/>
    <n v="0"/>
    <n v="0"/>
  </r>
  <r>
    <s v="VT036"/>
    <s v="Hóa chất 36"/>
    <x v="5"/>
    <x v="1"/>
    <x v="0"/>
    <s v="WH_DA"/>
    <x v="1"/>
    <s v="Miền Bắc"/>
    <n v="21"/>
    <n v="3780000"/>
    <n v="50"/>
    <d v="2026-06-25T00:00:00"/>
    <b v="1"/>
    <b v="0"/>
    <b v="0"/>
    <n v="0"/>
    <b v="0"/>
    <n v="0"/>
    <n v="1"/>
    <n v="0"/>
  </r>
  <r>
    <s v="VT036"/>
    <s v="Hóa chất 36"/>
    <x v="5"/>
    <x v="1"/>
    <x v="0"/>
    <s v="WH_DN"/>
    <x v="2"/>
    <s v="Miền Trung"/>
    <n v="99"/>
    <n v="17820000"/>
    <n v="50"/>
    <d v="2026-02-11T00:00:00"/>
    <b v="0"/>
    <b v="0"/>
    <b v="0"/>
    <n v="0"/>
    <b v="0"/>
    <n v="0"/>
    <n v="0"/>
    <n v="0"/>
  </r>
  <r>
    <s v="VT036"/>
    <s v="Hóa chất 36"/>
    <x v="5"/>
    <x v="1"/>
    <x v="0"/>
    <s v="WH_HCM"/>
    <x v="3"/>
    <s v="Miền Nam"/>
    <n v="36"/>
    <n v="6480000"/>
    <n v="50"/>
    <d v="2026-05-13T00:00:00"/>
    <b v="1"/>
    <b v="0"/>
    <b v="0"/>
    <n v="0"/>
    <b v="0"/>
    <n v="0"/>
    <n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3DFA8C-7BCB-4700-B8E4-3A50C773F0BF}" name="db1_cat" cacheId="0" applyNumberFormats="0" applyBorderFormats="0" applyFontFormats="0" applyPatternFormats="0" applyAlignmentFormats="0" applyWidthHeightFormats="1" dataCaption="Values" updatedVersion="8" minRefreshableVersion="3" showCalcMbrs="0" showDrill="0" useAutoFormatting="1" itemPrintTitles="1" createdVersion="3" indent="0" outline="1" outlineData="1" multipleFieldFilters="0" chartFormat="1">
  <location ref="CD20:CE28" firstHeaderRow="1" firstDataRow="1" firstDataCol="1"/>
  <pivotFields count="50">
    <pivotField numFmtId="164"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items count="5">
        <item x="3"/>
        <item x="1"/>
        <item x="2"/>
        <item x="0"/>
        <item t="default"/>
      </items>
    </pivotField>
    <pivotField showAll="0">
      <items count="6">
        <item x="0"/>
        <item x="3"/>
        <item x="2"/>
        <item x="1"/>
        <item x="4"/>
        <item t="default"/>
      </items>
    </pivotField>
    <pivotField showAll="0"/>
    <pivotField showAll="0"/>
    <pivotField showAll="0"/>
    <pivotField axis="axisRow" showAll="0" sortType="descending">
      <items count="8">
        <item x="6"/>
        <item x="3"/>
        <item x="5"/>
        <item x="1"/>
        <item x="4"/>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7">
        <item x="2"/>
        <item x="5"/>
        <item x="0"/>
        <item x="4"/>
        <item x="1"/>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22"/>
  </rowFields>
  <rowItems count="8">
    <i>
      <x v="2"/>
    </i>
    <i>
      <x v="1"/>
    </i>
    <i>
      <x v="3"/>
    </i>
    <i>
      <x v="6"/>
    </i>
    <i>
      <x v="4"/>
    </i>
    <i>
      <x v="5"/>
    </i>
    <i>
      <x/>
    </i>
    <i t="grand">
      <x/>
    </i>
  </rowItems>
  <colItems count="1">
    <i/>
  </colItems>
  <dataFields count="1">
    <dataField name="Revenue Net" fld="3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83C964-8846-4B1A-9A18-7F944BD2D342}" name="db1_region" cacheId="0" applyNumberFormats="0" applyBorderFormats="0" applyFontFormats="0" applyPatternFormats="0" applyAlignmentFormats="0" applyWidthHeightFormats="1" dataCaption="Values" updatedVersion="8" minRefreshableVersion="3" showCalcMbrs="0" showDrill="0" useAutoFormatting="1" itemPrintTitles="1" createdVersion="3" indent="0" outline="1" outlineData="1" multipleFieldFilters="0" chartFormat="1">
  <location ref="BX20:BY25" firstHeaderRow="1" firstDataRow="1" firstDataCol="1"/>
  <pivotFields count="50">
    <pivotField numFmtId="164"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axis="axisRow" showAll="0">
      <items count="5">
        <item x="3"/>
        <item x="1"/>
        <item x="2"/>
        <item x="0"/>
        <item t="default"/>
      </items>
    </pivotField>
    <pivotField showAll="0">
      <items count="6">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items count="7">
        <item x="2"/>
        <item x="5"/>
        <item x="0"/>
        <item x="4"/>
        <item x="1"/>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7"/>
  </rowFields>
  <rowItems count="5">
    <i>
      <x/>
    </i>
    <i>
      <x v="1"/>
    </i>
    <i>
      <x v="2"/>
    </i>
    <i>
      <x v="3"/>
    </i>
    <i t="grand">
      <x/>
    </i>
  </rowItems>
  <colItems count="1">
    <i/>
  </colItems>
  <dataFields count="1">
    <dataField name="Revenue Net" fld="3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11A402-8869-4D58-855A-E9C66600748A}" name="db1_month" cacheId="0" applyNumberFormats="0" applyBorderFormats="0" applyFontFormats="0" applyPatternFormats="0" applyAlignmentFormats="0" applyWidthHeightFormats="1" dataCaption="Values" updatedVersion="8" minRefreshableVersion="3" showCalcMbrs="0" showDrill="0" useAutoFormatting="1" itemPrintTitles="1" createdVersion="3" indent="0" outline="1" outlineData="1" multipleFieldFilters="0" chartFormat="1">
  <location ref="BR20:BS27" firstHeaderRow="1" firstDataRow="1" firstDataCol="1"/>
  <pivotFields count="50">
    <pivotField numFmtId="164"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items count="5">
        <item x="3"/>
        <item x="1"/>
        <item x="2"/>
        <item x="0"/>
        <item t="default"/>
      </items>
    </pivotField>
    <pivotField showAll="0">
      <items count="6">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axis="axisRow" showAll="0">
      <items count="7">
        <item x="2"/>
        <item x="5"/>
        <item x="0"/>
        <item x="4"/>
        <item x="1"/>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29"/>
  </rowFields>
  <rowItems count="7">
    <i>
      <x/>
    </i>
    <i>
      <x v="1"/>
    </i>
    <i>
      <x v="2"/>
    </i>
    <i>
      <x v="3"/>
    </i>
    <i>
      <x v="4"/>
    </i>
    <i>
      <x v="5"/>
    </i>
    <i t="grand">
      <x/>
    </i>
  </rowItems>
  <colItems count="1">
    <i/>
  </colItems>
  <dataFields count="1">
    <dataField name="Revenue Net" fld="3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245C78-794C-4308-8126-90BD176E2E73}" name="db1_kpi" cacheId="0" applyNumberFormats="0" applyBorderFormats="0" applyFontFormats="0" applyPatternFormats="0" applyAlignmentFormats="0" applyWidthHeightFormats="1" dataCaption="Values" updatedVersion="8" minRefreshableVersion="3" showCalcMbrs="0" showDrill="0" useAutoFormatting="1" itemPrintTitles="1" createdVersion="3" indent="0" outline="1" outlineData="1" multipleFieldFilters="0">
  <location ref="BR2:BW4" firstHeaderRow="1" firstDataRow="2" firstDataCol="0"/>
  <pivotFields count="50">
    <pivotField numFmtId="164"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items count="5">
        <item x="3"/>
        <item x="1"/>
        <item x="2"/>
        <item x="0"/>
        <item t="default"/>
      </items>
    </pivotField>
    <pivotField showAll="0">
      <items count="6">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items count="7">
        <item x="2"/>
        <item x="5"/>
        <item x="0"/>
        <item x="4"/>
        <item x="1"/>
        <item x="3"/>
        <item t="default"/>
      </items>
    </pivotField>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s>
  <rowItems count="1">
    <i/>
  </rowItems>
  <colFields count="1">
    <field x="-2"/>
  </colFields>
  <colItems count="6">
    <i>
      <x/>
    </i>
    <i i="1">
      <x v="1"/>
    </i>
    <i i="2">
      <x v="2"/>
    </i>
    <i i="3">
      <x v="3"/>
    </i>
    <i i="4">
      <x v="4"/>
    </i>
    <i i="5">
      <x v="5"/>
    </i>
  </colItems>
  <dataFields count="6">
    <dataField name="Revenue Net" fld="30" baseField="0" baseItem="0"/>
    <dataField name="Gross Margin" fld="40" baseField="0" baseItem="0"/>
    <dataField name="GM %" fld="47" baseField="0" baseItem="0"/>
    <dataField name="Fill Rate" fld="48" baseField="0" baseItem="0"/>
    <dataField name="OTD" fld="49" baseField="0" baseItem="0"/>
    <dataField name="Return Val" fld="45"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3EA0E6-4EA6-4C1C-B979-D8311529733C}" name="db1_prod" cacheId="0" applyNumberFormats="0" applyBorderFormats="0" applyFontFormats="0" applyPatternFormats="0" applyAlignmentFormats="0" applyWidthHeightFormats="1" dataCaption="Values" updatedVersion="8" minRefreshableVersion="3" showCalcMbrs="0" showDrill="0" useAutoFormatting="1" itemPrintTitles="1" createdVersion="3" indent="0" outline="1" outlineData="1" multipleFieldFilters="0" chartFormat="1">
  <location ref="CJ20:CK31" firstHeaderRow="1" firstDataRow="1" firstDataCol="1"/>
  <pivotFields count="50">
    <pivotField numFmtId="164"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items count="5">
        <item x="3"/>
        <item x="1"/>
        <item x="2"/>
        <item x="0"/>
        <item t="default"/>
      </items>
    </pivotField>
    <pivotField showAll="0">
      <items count="6">
        <item x="0"/>
        <item x="3"/>
        <item x="2"/>
        <item x="1"/>
        <item x="4"/>
        <item t="default"/>
      </items>
    </pivotField>
    <pivotField showAll="0"/>
    <pivotField axis="axisRow" showAll="0" measureFilter="1" sortType="descending">
      <items count="38">
        <item x="4"/>
        <item x="24"/>
        <item x="34"/>
        <item x="36"/>
        <item x="29"/>
        <item x="17"/>
        <item x="31"/>
        <item x="25"/>
        <item x="12"/>
        <item x="27"/>
        <item x="10"/>
        <item x="30"/>
        <item x="1"/>
        <item x="19"/>
        <item x="6"/>
        <item x="26"/>
        <item x="21"/>
        <item x="14"/>
        <item x="5"/>
        <item x="35"/>
        <item x="20"/>
        <item x="9"/>
        <item x="16"/>
        <item x="11"/>
        <item x="23"/>
        <item x="0"/>
        <item x="13"/>
        <item x="28"/>
        <item x="8"/>
        <item x="22"/>
        <item x="2"/>
        <item x="33"/>
        <item x="7"/>
        <item x="3"/>
        <item x="15"/>
        <item x="18"/>
        <item x="3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7">
        <item x="2"/>
        <item x="5"/>
        <item x="0"/>
        <item x="4"/>
        <item x="1"/>
        <item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20"/>
  </rowFields>
  <rowItems count="11">
    <i>
      <x v="10"/>
    </i>
    <i>
      <x v="12"/>
    </i>
    <i>
      <x v="1"/>
    </i>
    <i>
      <x v="33"/>
    </i>
    <i>
      <x v="11"/>
    </i>
    <i>
      <x v="34"/>
    </i>
    <i>
      <x v="20"/>
    </i>
    <i>
      <x v="13"/>
    </i>
    <i>
      <x v="15"/>
    </i>
    <i>
      <x v="25"/>
    </i>
    <i t="grand">
      <x/>
    </i>
  </rowItems>
  <colItems count="1">
    <i/>
  </colItems>
  <dataFields count="1">
    <dataField name="Gross Profit" fld="4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EE58A1-E2DF-4CAB-A0F8-0BF65AAE65E7}" name="db2_kpi" cacheId="1" applyNumberFormats="0" applyBorderFormats="0" applyFontFormats="0" applyPatternFormats="0" applyAlignmentFormats="0" applyWidthHeightFormats="1" dataCaption="Values" updatedVersion="8" minRefreshableVersion="3" showCalcMbrs="0" showDrill="0" useAutoFormatting="1" itemPrintTitles="1" createdVersion="3" indent="0" outline="1" outlineData="1" multipleFieldFilters="0">
  <location ref="BR2:BV4" firstHeaderRow="1" firstDataRow="2" firstDataCol="0"/>
  <pivotFields count="20">
    <pivotField showAll="0"/>
    <pivotField showAll="0"/>
    <pivotField showAll="0">
      <items count="7">
        <item x="1"/>
        <item x="0"/>
        <item x="5"/>
        <item x="2"/>
        <item x="3"/>
        <item x="4"/>
        <item t="default"/>
      </items>
    </pivotField>
    <pivotField showAll="0">
      <items count="4">
        <item x="2"/>
        <item x="0"/>
        <item x="1"/>
        <item t="default"/>
      </items>
    </pivotField>
    <pivotField showAll="0">
      <items count="3">
        <item x="0"/>
        <item x="1"/>
        <item t="default"/>
      </items>
    </pivotField>
    <pivotField showAll="0"/>
    <pivotField showAll="0">
      <items count="5">
        <item x="2"/>
        <item x="1"/>
        <item x="0"/>
        <item x="3"/>
        <item t="default"/>
      </items>
    </pivotField>
    <pivotField showAll="0"/>
    <pivotField showAll="0"/>
    <pivotField dataField="1" showAll="0"/>
    <pivotField showAll="0"/>
    <pivotField numFmtId="164" showAll="0"/>
    <pivotField showAll="0"/>
    <pivotField showAll="0"/>
    <pivotField showAll="0"/>
    <pivotField dataField="1" showAll="0"/>
    <pivotField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name="Ton" fld="9" baseField="0" baseItem="0"/>
    <dataField name="MacKet" fld="15" baseField="0" baseItem="0"/>
    <dataField name="Disc" fld="17" baseField="0" baseItem="0"/>
    <dataField name="TonAm" fld="19" baseField="0" baseItem="0"/>
    <dataField name="DuoiSafety" fld="18"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889AFC-3B4D-41CA-B8C1-2F640AFE534E}" name="db2_heat" cacheId="1" applyNumberFormats="0" applyBorderFormats="0" applyFontFormats="0" applyPatternFormats="0" applyAlignmentFormats="0" applyWidthHeightFormats="1" dataCaption="Values" updatedVersion="8" minRefreshableVersion="3" showCalcMbrs="0" showDrill="0" useAutoFormatting="1" itemPrintTitles="1" createdVersion="3" indent="0" outline="1" outlineData="1" multipleFieldFilters="0">
  <location ref="B44:G52" firstHeaderRow="1" firstDataRow="2" firstDataCol="1"/>
  <pivotFields count="20">
    <pivotField showAll="0"/>
    <pivotField showAll="0"/>
    <pivotField axis="axisRow" showAll="0">
      <items count="7">
        <item x="1"/>
        <item x="0"/>
        <item x="5"/>
        <item x="2"/>
        <item x="3"/>
        <item x="4"/>
        <item t="default"/>
      </items>
    </pivotField>
    <pivotField showAll="0">
      <items count="4">
        <item x="2"/>
        <item x="0"/>
        <item x="1"/>
        <item t="default"/>
      </items>
    </pivotField>
    <pivotField showAll="0">
      <items count="3">
        <item x="0"/>
        <item x="1"/>
        <item t="default"/>
      </items>
    </pivotField>
    <pivotField showAll="0"/>
    <pivotField axis="axisCol" showAll="0">
      <items count="5">
        <item x="2"/>
        <item x="1"/>
        <item x="0"/>
        <item x="3"/>
        <item t="default"/>
      </items>
    </pivotField>
    <pivotField showAll="0"/>
    <pivotField showAll="0"/>
    <pivotField dataField="1" showAll="0"/>
    <pivotField showAll="0"/>
    <pivotField numFmtId="164"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Fields count="1">
    <field x="6"/>
  </colFields>
  <colItems count="5">
    <i>
      <x/>
    </i>
    <i>
      <x v="1"/>
    </i>
    <i>
      <x v="2"/>
    </i>
    <i>
      <x v="3"/>
    </i>
    <i t="grand">
      <x/>
    </i>
  </colItems>
  <dataFields count="1">
    <dataField name="Tồn" fld="9" baseField="0" baseItem="0" numFmtId="165"/>
  </dataFields>
  <formats count="2">
    <format dxfId="7">
      <pivotArea outline="0" collapsedLevelsAreSubtotals="1" fieldPosition="0"/>
    </format>
    <format dxfId="6">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69FB51-F275-42C8-A328-5764119F2479}" name="db2_cat" cacheId="1" applyNumberFormats="0" applyBorderFormats="0" applyFontFormats="0" applyPatternFormats="0" applyAlignmentFormats="0" applyWidthHeightFormats="1" dataCaption="Values" updatedVersion="8" minRefreshableVersion="3" showCalcMbrs="0" showDrill="0" useAutoFormatting="1" itemPrintTitles="1" createdVersion="3" indent="0" outline="1" outlineData="1" multipleFieldFilters="0" chartFormat="1">
  <location ref="CD20:CE27" firstHeaderRow="1" firstDataRow="1" firstDataCol="1"/>
  <pivotFields count="20">
    <pivotField showAll="0"/>
    <pivotField showAll="0"/>
    <pivotField axis="axisRow" showAll="0" sortType="descending">
      <items count="7">
        <item x="1"/>
        <item x="0"/>
        <item x="5"/>
        <item x="2"/>
        <item x="3"/>
        <item x="4"/>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3">
        <item x="0"/>
        <item x="1"/>
        <item t="default"/>
      </items>
    </pivotField>
    <pivotField showAll="0"/>
    <pivotField showAll="0">
      <items count="5">
        <item x="2"/>
        <item x="1"/>
        <item x="0"/>
        <item x="3"/>
        <item t="default"/>
      </items>
    </pivotField>
    <pivotField showAll="0"/>
    <pivotField showAll="0"/>
    <pivotField dataField="1" showAll="0"/>
    <pivotField showAll="0"/>
    <pivotField numFmtId="164" showAll="0"/>
    <pivotField showAll="0"/>
    <pivotField showAll="0"/>
    <pivotField showAll="0"/>
    <pivotField showAll="0"/>
    <pivotField showAll="0"/>
    <pivotField showAll="0"/>
    <pivotField showAll="0"/>
    <pivotField showAll="0"/>
  </pivotFields>
  <rowFields count="1">
    <field x="2"/>
  </rowFields>
  <rowItems count="7">
    <i>
      <x v="1"/>
    </i>
    <i>
      <x v="5"/>
    </i>
    <i>
      <x/>
    </i>
    <i>
      <x v="2"/>
    </i>
    <i>
      <x v="3"/>
    </i>
    <i>
      <x v="4"/>
    </i>
    <i t="grand">
      <x/>
    </i>
  </rowItems>
  <colItems count="1">
    <i/>
  </colItems>
  <dataFields count="1">
    <dataField name="Tồn"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0061305-A46C-418C-9A33-CD129CF9FFD7}" name="db2_wh" cacheId="1" applyNumberFormats="0" applyBorderFormats="0" applyFontFormats="0" applyPatternFormats="0" applyAlignmentFormats="0" applyWidthHeightFormats="1" dataCaption="Values" updatedVersion="8" minRefreshableVersion="3" showCalcMbrs="0" showDrill="0" useAutoFormatting="1" itemPrintTitles="1" createdVersion="3" indent="0" outline="1" outlineData="1" multipleFieldFilters="0" chartFormat="1">
  <location ref="BX20:BY25" firstHeaderRow="1" firstDataRow="1" firstDataCol="1"/>
  <pivotFields count="20">
    <pivotField showAll="0"/>
    <pivotField showAll="0"/>
    <pivotField showAll="0">
      <items count="7">
        <item x="1"/>
        <item x="0"/>
        <item x="5"/>
        <item x="2"/>
        <item x="3"/>
        <item x="4"/>
        <item t="default"/>
      </items>
    </pivotField>
    <pivotField showAll="0">
      <items count="4">
        <item x="2"/>
        <item x="0"/>
        <item x="1"/>
        <item t="default"/>
      </items>
    </pivotField>
    <pivotField showAll="0">
      <items count="3">
        <item x="0"/>
        <item x="1"/>
        <item t="default"/>
      </items>
    </pivotField>
    <pivotField showAll="0"/>
    <pivotField axis="axisRow" showAll="0">
      <items count="5">
        <item x="2"/>
        <item x="1"/>
        <item x="0"/>
        <item x="3"/>
        <item t="default"/>
      </items>
    </pivotField>
    <pivotField showAll="0"/>
    <pivotField showAll="0"/>
    <pivotField dataField="1" showAll="0"/>
    <pivotField showAll="0"/>
    <pivotField numFmtId="164" showAll="0"/>
    <pivotField showAll="0"/>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Tồn"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FCA1678-959E-4831-BD41-2A2C1E696C49}" sourceName="Month">
  <pivotTables>
    <pivotTable tabId="22" name="db1_kpi"/>
    <pivotTable tabId="22" name="db1_month"/>
    <pivotTable tabId="22" name="db1_region"/>
    <pivotTable tabId="22" name="db1_cat"/>
    <pivotTable tabId="22" name="db1_prod"/>
  </pivotTables>
  <data>
    <tabular pivotCacheId="89108192">
      <items count="6">
        <i x="2" s="1"/>
        <i x="5" s="1"/>
        <i x="0" s="1"/>
        <i x="4"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Region" xr10:uid="{9719B303-F44A-4D47-ACD7-BFA156CC8AE4}" sourceName="CustRegion">
  <pivotTables>
    <pivotTable tabId="22" name="db1_kpi"/>
    <pivotTable tabId="22" name="db1_month"/>
    <pivotTable tabId="22" name="db1_region"/>
    <pivotTable tabId="22" name="db1_cat"/>
    <pivotTable tabId="22" name="db1_prod"/>
  </pivotTables>
  <data>
    <tabular pivotCacheId="89108192">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B6EF3815-4D3B-4288-B8F1-A9CD0967C07D}" sourceName="Channel">
  <pivotTables>
    <pivotTable tabId="22" name="db1_kpi"/>
    <pivotTable tabId="22" name="db1_month"/>
    <pivotTable tabId="22" name="db1_region"/>
    <pivotTable tabId="22" name="db1_cat"/>
    <pivotTable tabId="22" name="db1_prod"/>
  </pivotTables>
  <data>
    <tabular pivotCacheId="89108192">
      <items count="5">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Name" xr10:uid="{6BF5ED90-3FB4-4B07-9DBF-FB381B7A1A38}" sourceName="WarehouseName">
  <pivotTables>
    <pivotTable tabId="23" name="db2_kpi"/>
    <pivotTable tabId="23" name="db2_wh"/>
    <pivotTable tabId="23" name="db2_cat"/>
    <pivotTable tabId="23" name="db2_heat"/>
  </pivotTables>
  <data>
    <tabular pivotCacheId="232633248">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19EB750C-577B-45D5-836E-6B0A46B7745D}" sourceName="CategoryName">
  <pivotTables>
    <pivotTable tabId="23" name="db2_kpi"/>
    <pivotTable tabId="23" name="db2_wh"/>
    <pivotTable tabId="23" name="db2_cat"/>
    <pivotTable tabId="23" name="db2_heat"/>
  </pivotTables>
  <data>
    <tabular pivotCacheId="232633248">
      <items count="6">
        <i x="1" s="1"/>
        <i x="0" s="1"/>
        <i x="5" s="1"/>
        <i x="2" s="1"/>
        <i x="3"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BC_Class" xr10:uid="{C80A6E89-1873-456C-9D19-775E8CBD0388}" sourceName="ABC_Class">
  <pivotTables>
    <pivotTable tabId="23" name="db2_kpi"/>
    <pivotTable tabId="23" name="db2_wh"/>
    <pivotTable tabId="23" name="db2_cat"/>
    <pivotTable tabId="23" name="db2_heat"/>
  </pivotTables>
  <data>
    <tabular pivotCacheId="232633248">
      <items count="3">
        <i x="2"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Status" xr10:uid="{98E2DB61-91F5-447C-B47E-76F2240F646B}" sourceName="ItemStatus">
  <pivotTables>
    <pivotTable tabId="23" name="db2_kpi"/>
    <pivotTable tabId="23" name="db2_wh"/>
    <pivotTable tabId="23" name="db2_cat"/>
    <pivotTable tabId="23" name="db2_heat"/>
  </pivotTables>
  <data>
    <tabular pivotCacheId="23263324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1. Executive Sales_Month" xr10:uid="{E88A289A-12A1-4707-A831-1B7C3B2669F5}" cache="Slicer_Month" caption="Tháng" columnCount="2" style="SlicerStyleLight2" rowHeight="234950"/>
  <slicer name="1. Executive Sales_CustRegion" xr10:uid="{C1ACB584-4F62-4105-BE19-D296912C4058}" cache="Slicer_CustRegion" caption="Vùng khách" style="SlicerStyleLight2" rowHeight="234950"/>
  <slicer name="1. Executive Sales_Channel" xr10:uid="{3A82FB78-B356-42DF-9527-C6425C77BDDF}" cache="Slicer_Channel" caption="Kênh"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2. Inventory_WarehouseName" xr10:uid="{6B76EDEC-44B2-46A4-8B39-062714C9F442}" cache="Slicer_WarehouseName" caption="Kho" style="SlicerStyleLight2" rowHeight="234950"/>
  <slicer name="2. Inventory_CategoryName" xr10:uid="{B3FEDF99-A823-43A0-A4E7-E74A4A54D2D1}" cache="Slicer_CategoryName" caption="Nhóm hàng" style="SlicerStyleLight2" rowHeight="234950"/>
  <slicer name="2. Inventory_ABC_Class" xr10:uid="{3890E88B-098C-4A19-A273-607D9BFCC14C}" cache="Slicer_ABC_Class" caption="ABC" style="SlicerStyleLight2" rowHeight="234950"/>
  <slicer name="2. Inventory_ItemStatus" xr10:uid="{813AC08F-0EF1-4AD6-A6E6-DC89A77F782C}" cache="Slicer_ItemStatus" caption="Status"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451"/>
  <sheetViews>
    <sheetView workbookViewId="0"/>
  </sheetViews>
  <sheetFormatPr defaultRowHeight="14.4" x14ac:dyDescent="0.3"/>
  <sheetData>
    <row r="1" spans="1:4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x14ac:dyDescent="0.3">
      <c r="A2" s="1">
        <v>46090</v>
      </c>
      <c r="B2" t="s">
        <v>47</v>
      </c>
      <c r="C2">
        <v>1</v>
      </c>
      <c r="D2" t="s">
        <v>48</v>
      </c>
      <c r="E2" t="s">
        <v>49</v>
      </c>
      <c r="F2" t="s">
        <v>50</v>
      </c>
      <c r="G2">
        <v>19</v>
      </c>
      <c r="H2">
        <v>19</v>
      </c>
      <c r="I2">
        <v>1170000</v>
      </c>
      <c r="J2">
        <v>0</v>
      </c>
      <c r="K2" t="s">
        <v>51</v>
      </c>
      <c r="L2" s="1">
        <v>46100</v>
      </c>
      <c r="M2" s="1">
        <v>46103</v>
      </c>
      <c r="N2" t="s">
        <v>52</v>
      </c>
      <c r="P2">
        <v>0</v>
      </c>
      <c r="Q2" t="s">
        <v>53</v>
      </c>
      <c r="R2" t="s">
        <v>54</v>
      </c>
      <c r="S2" t="s">
        <v>55</v>
      </c>
      <c r="T2" t="s">
        <v>56</v>
      </c>
      <c r="U2" t="s">
        <v>57</v>
      </c>
      <c r="V2" t="s">
        <v>58</v>
      </c>
      <c r="W2" t="s">
        <v>59</v>
      </c>
      <c r="X2">
        <v>900000</v>
      </c>
      <c r="Y2">
        <v>1170000</v>
      </c>
      <c r="Z2" t="s">
        <v>56</v>
      </c>
      <c r="AA2" t="s">
        <v>60</v>
      </c>
      <c r="AB2" t="s">
        <v>61</v>
      </c>
      <c r="AC2" t="s">
        <v>54</v>
      </c>
      <c r="AD2" t="s">
        <v>62</v>
      </c>
      <c r="AE2">
        <v>22230000</v>
      </c>
      <c r="AF2">
        <v>17100000</v>
      </c>
      <c r="AG2">
        <v>5130000</v>
      </c>
      <c r="AH2" t="b">
        <v>1</v>
      </c>
      <c r="AI2" t="b">
        <v>1</v>
      </c>
      <c r="AJ2">
        <v>0</v>
      </c>
      <c r="AK2">
        <v>3</v>
      </c>
      <c r="AL2" t="b">
        <v>1</v>
      </c>
      <c r="AM2" t="b">
        <v>0</v>
      </c>
      <c r="AN2">
        <v>22230000</v>
      </c>
      <c r="AO2">
        <v>5130000</v>
      </c>
      <c r="AP2">
        <v>19</v>
      </c>
      <c r="AQ2">
        <v>19</v>
      </c>
      <c r="AR2">
        <v>0</v>
      </c>
      <c r="AS2">
        <v>1</v>
      </c>
      <c r="AT2">
        <v>0</v>
      </c>
      <c r="AU2">
        <v>5130000</v>
      </c>
    </row>
    <row r="3" spans="1:47" x14ac:dyDescent="0.3">
      <c r="A3" s="1">
        <v>46152</v>
      </c>
      <c r="B3" t="s">
        <v>63</v>
      </c>
      <c r="C3">
        <v>3</v>
      </c>
      <c r="D3" t="s">
        <v>64</v>
      </c>
      <c r="E3" t="s">
        <v>65</v>
      </c>
      <c r="F3" t="s">
        <v>66</v>
      </c>
      <c r="G3">
        <v>18</v>
      </c>
      <c r="H3">
        <v>18</v>
      </c>
      <c r="I3">
        <v>2430000</v>
      </c>
      <c r="J3">
        <v>0.1</v>
      </c>
      <c r="K3" t="s">
        <v>51</v>
      </c>
      <c r="L3" s="1">
        <v>46155</v>
      </c>
      <c r="M3" s="1">
        <v>46155</v>
      </c>
      <c r="N3" t="s">
        <v>67</v>
      </c>
      <c r="P3">
        <v>1</v>
      </c>
      <c r="Q3" t="s">
        <v>68</v>
      </c>
      <c r="R3" t="s">
        <v>54</v>
      </c>
      <c r="S3" t="s">
        <v>69</v>
      </c>
      <c r="T3" t="s">
        <v>56</v>
      </c>
      <c r="U3" t="s">
        <v>70</v>
      </c>
      <c r="V3" t="s">
        <v>71</v>
      </c>
      <c r="W3" t="s">
        <v>72</v>
      </c>
      <c r="X3">
        <v>1800000</v>
      </c>
      <c r="Y3">
        <v>2430000</v>
      </c>
      <c r="Z3" t="s">
        <v>56</v>
      </c>
      <c r="AA3" t="s">
        <v>73</v>
      </c>
      <c r="AB3" t="s">
        <v>74</v>
      </c>
      <c r="AC3" t="s">
        <v>75</v>
      </c>
      <c r="AD3" t="s">
        <v>76</v>
      </c>
      <c r="AE3">
        <v>39366000</v>
      </c>
      <c r="AF3">
        <v>32400000</v>
      </c>
      <c r="AG3">
        <v>6966000</v>
      </c>
      <c r="AH3" t="b">
        <v>1</v>
      </c>
      <c r="AI3" t="b">
        <v>1</v>
      </c>
      <c r="AJ3">
        <v>1</v>
      </c>
      <c r="AK3">
        <v>0</v>
      </c>
      <c r="AL3" t="b">
        <v>1</v>
      </c>
      <c r="AM3" t="b">
        <v>0</v>
      </c>
      <c r="AN3">
        <v>39366000</v>
      </c>
      <c r="AO3">
        <v>6966000</v>
      </c>
      <c r="AP3">
        <v>18</v>
      </c>
      <c r="AQ3">
        <v>18</v>
      </c>
      <c r="AR3">
        <v>1</v>
      </c>
      <c r="AS3">
        <v>1</v>
      </c>
      <c r="AT3">
        <v>0</v>
      </c>
      <c r="AU3">
        <v>6966000</v>
      </c>
    </row>
    <row r="4" spans="1:47" x14ac:dyDescent="0.3">
      <c r="A4" s="1">
        <v>46164</v>
      </c>
      <c r="B4" t="s">
        <v>77</v>
      </c>
      <c r="C4">
        <v>1</v>
      </c>
      <c r="D4" t="s">
        <v>78</v>
      </c>
      <c r="E4" t="s">
        <v>79</v>
      </c>
      <c r="F4" t="s">
        <v>80</v>
      </c>
      <c r="G4">
        <v>35</v>
      </c>
      <c r="H4">
        <v>33</v>
      </c>
      <c r="I4">
        <v>150000</v>
      </c>
      <c r="J4">
        <v>0.08</v>
      </c>
      <c r="K4" t="s">
        <v>51</v>
      </c>
      <c r="L4" s="1">
        <v>46166</v>
      </c>
      <c r="M4" s="1">
        <v>46167</v>
      </c>
      <c r="N4" t="s">
        <v>81</v>
      </c>
      <c r="P4">
        <v>2</v>
      </c>
      <c r="Q4" t="s">
        <v>82</v>
      </c>
      <c r="R4" t="s">
        <v>83</v>
      </c>
      <c r="S4" t="s">
        <v>84</v>
      </c>
      <c r="T4" t="s">
        <v>56</v>
      </c>
      <c r="U4" t="s">
        <v>85</v>
      </c>
      <c r="V4" t="s">
        <v>86</v>
      </c>
      <c r="W4" t="s">
        <v>87</v>
      </c>
      <c r="X4">
        <v>120000</v>
      </c>
      <c r="Y4">
        <v>150000</v>
      </c>
      <c r="Z4" t="s">
        <v>56</v>
      </c>
      <c r="AA4" t="s">
        <v>60</v>
      </c>
      <c r="AB4" t="s">
        <v>88</v>
      </c>
      <c r="AC4" t="s">
        <v>83</v>
      </c>
      <c r="AD4" t="s">
        <v>76</v>
      </c>
      <c r="AE4">
        <v>4554000</v>
      </c>
      <c r="AF4">
        <v>3960000</v>
      </c>
      <c r="AG4">
        <v>594000</v>
      </c>
      <c r="AH4" t="b">
        <v>1</v>
      </c>
      <c r="AI4" t="b">
        <v>1</v>
      </c>
      <c r="AJ4">
        <v>0</v>
      </c>
      <c r="AK4">
        <v>1</v>
      </c>
      <c r="AL4" t="b">
        <v>1</v>
      </c>
      <c r="AM4" t="b">
        <v>0</v>
      </c>
      <c r="AN4">
        <v>4554000</v>
      </c>
      <c r="AO4">
        <v>594000</v>
      </c>
      <c r="AP4">
        <v>33</v>
      </c>
      <c r="AQ4">
        <v>35</v>
      </c>
      <c r="AR4">
        <v>0</v>
      </c>
      <c r="AS4">
        <v>1</v>
      </c>
      <c r="AT4">
        <v>0</v>
      </c>
      <c r="AU4">
        <v>594000</v>
      </c>
    </row>
    <row r="5" spans="1:47" x14ac:dyDescent="0.3">
      <c r="A5" s="1">
        <v>46033</v>
      </c>
      <c r="B5" t="s">
        <v>89</v>
      </c>
      <c r="C5">
        <v>3</v>
      </c>
      <c r="D5" t="s">
        <v>90</v>
      </c>
      <c r="E5" t="s">
        <v>91</v>
      </c>
      <c r="F5" t="s">
        <v>80</v>
      </c>
      <c r="G5">
        <v>16</v>
      </c>
      <c r="H5">
        <v>14</v>
      </c>
      <c r="I5">
        <v>2250000</v>
      </c>
      <c r="J5">
        <v>0.05</v>
      </c>
      <c r="K5" t="s">
        <v>51</v>
      </c>
      <c r="L5" s="1">
        <v>46040</v>
      </c>
      <c r="M5" s="1">
        <v>46043</v>
      </c>
      <c r="N5" t="s">
        <v>81</v>
      </c>
      <c r="P5">
        <v>3</v>
      </c>
      <c r="Q5" t="s">
        <v>92</v>
      </c>
      <c r="R5" t="s">
        <v>75</v>
      </c>
      <c r="S5" t="s">
        <v>84</v>
      </c>
      <c r="T5" t="s">
        <v>56</v>
      </c>
      <c r="U5" t="s">
        <v>93</v>
      </c>
      <c r="V5" t="s">
        <v>86</v>
      </c>
      <c r="W5" t="s">
        <v>87</v>
      </c>
      <c r="X5">
        <v>1800000</v>
      </c>
      <c r="Y5">
        <v>2250000</v>
      </c>
      <c r="Z5" t="s">
        <v>56</v>
      </c>
      <c r="AA5" t="s">
        <v>60</v>
      </c>
      <c r="AB5" t="s">
        <v>88</v>
      </c>
      <c r="AC5" t="s">
        <v>83</v>
      </c>
      <c r="AD5" t="s">
        <v>94</v>
      </c>
      <c r="AE5">
        <v>29925000</v>
      </c>
      <c r="AF5">
        <v>25200000</v>
      </c>
      <c r="AG5">
        <v>4725000</v>
      </c>
      <c r="AH5" t="b">
        <v>1</v>
      </c>
      <c r="AI5" t="b">
        <v>1</v>
      </c>
      <c r="AJ5">
        <v>0</v>
      </c>
      <c r="AK5">
        <v>3</v>
      </c>
      <c r="AL5" t="b">
        <v>1</v>
      </c>
      <c r="AM5" t="b">
        <v>0</v>
      </c>
      <c r="AN5">
        <v>29925000</v>
      </c>
      <c r="AO5">
        <v>4725000</v>
      </c>
      <c r="AP5">
        <v>14</v>
      </c>
      <c r="AQ5">
        <v>16</v>
      </c>
      <c r="AR5">
        <v>0</v>
      </c>
      <c r="AS5">
        <v>1</v>
      </c>
      <c r="AT5">
        <v>0</v>
      </c>
      <c r="AU5">
        <v>4725000</v>
      </c>
    </row>
    <row r="6" spans="1:47" x14ac:dyDescent="0.3">
      <c r="A6" s="1">
        <v>46083</v>
      </c>
      <c r="B6" t="s">
        <v>95</v>
      </c>
      <c r="C6">
        <v>2</v>
      </c>
      <c r="D6" t="s">
        <v>96</v>
      </c>
      <c r="E6" t="s">
        <v>97</v>
      </c>
      <c r="F6" t="s">
        <v>80</v>
      </c>
      <c r="G6">
        <v>22</v>
      </c>
      <c r="H6">
        <v>13</v>
      </c>
      <c r="I6">
        <v>427000</v>
      </c>
      <c r="J6">
        <v>0.1</v>
      </c>
      <c r="K6" t="s">
        <v>98</v>
      </c>
      <c r="L6" s="1">
        <v>46093</v>
      </c>
      <c r="N6" t="s">
        <v>81</v>
      </c>
      <c r="P6">
        <v>4</v>
      </c>
      <c r="Q6" t="s">
        <v>99</v>
      </c>
      <c r="R6" t="s">
        <v>75</v>
      </c>
      <c r="S6" t="s">
        <v>55</v>
      </c>
      <c r="T6" t="s">
        <v>56</v>
      </c>
      <c r="U6" t="s">
        <v>100</v>
      </c>
      <c r="V6" t="s">
        <v>101</v>
      </c>
      <c r="W6" t="s">
        <v>102</v>
      </c>
      <c r="X6">
        <v>350000</v>
      </c>
      <c r="Y6">
        <v>427000</v>
      </c>
      <c r="Z6" t="s">
        <v>56</v>
      </c>
      <c r="AA6" t="s">
        <v>73</v>
      </c>
      <c r="AB6" t="s">
        <v>88</v>
      </c>
      <c r="AC6" t="s">
        <v>83</v>
      </c>
      <c r="AD6" t="s">
        <v>62</v>
      </c>
      <c r="AE6">
        <v>4995900</v>
      </c>
      <c r="AF6">
        <v>4550000</v>
      </c>
      <c r="AG6">
        <v>445900</v>
      </c>
      <c r="AH6" t="b">
        <v>1</v>
      </c>
      <c r="AI6" t="b">
        <v>0</v>
      </c>
      <c r="AL6" t="b">
        <v>1</v>
      </c>
      <c r="AM6" t="b">
        <v>0</v>
      </c>
      <c r="AN6">
        <v>4995900</v>
      </c>
      <c r="AO6">
        <v>445900</v>
      </c>
      <c r="AP6">
        <v>13</v>
      </c>
      <c r="AQ6">
        <v>22</v>
      </c>
      <c r="AR6">
        <v>0</v>
      </c>
      <c r="AS6">
        <v>0</v>
      </c>
      <c r="AT6">
        <v>0</v>
      </c>
      <c r="AU6">
        <v>445900</v>
      </c>
    </row>
    <row r="7" spans="1:47" x14ac:dyDescent="0.3">
      <c r="A7" s="1">
        <v>46091</v>
      </c>
      <c r="B7" t="s">
        <v>103</v>
      </c>
      <c r="C7">
        <v>1</v>
      </c>
      <c r="D7" t="s">
        <v>104</v>
      </c>
      <c r="E7" t="s">
        <v>105</v>
      </c>
      <c r="F7" t="s">
        <v>66</v>
      </c>
      <c r="G7">
        <v>15</v>
      </c>
      <c r="H7">
        <v>15</v>
      </c>
      <c r="I7">
        <v>212000</v>
      </c>
      <c r="J7">
        <v>0.02</v>
      </c>
      <c r="K7" t="s">
        <v>51</v>
      </c>
      <c r="L7" s="1">
        <v>46093</v>
      </c>
      <c r="M7" s="1">
        <v>46093</v>
      </c>
      <c r="N7" t="s">
        <v>106</v>
      </c>
      <c r="P7">
        <v>5</v>
      </c>
      <c r="Q7" t="s">
        <v>107</v>
      </c>
      <c r="R7" t="s">
        <v>83</v>
      </c>
      <c r="S7" t="s">
        <v>55</v>
      </c>
      <c r="T7" t="s">
        <v>56</v>
      </c>
      <c r="U7" t="s">
        <v>108</v>
      </c>
      <c r="V7" t="s">
        <v>109</v>
      </c>
      <c r="W7" t="s">
        <v>110</v>
      </c>
      <c r="X7">
        <v>180000</v>
      </c>
      <c r="Y7">
        <v>212000</v>
      </c>
      <c r="Z7" t="s">
        <v>56</v>
      </c>
      <c r="AA7" t="s">
        <v>73</v>
      </c>
      <c r="AB7" t="s">
        <v>74</v>
      </c>
      <c r="AC7" t="s">
        <v>75</v>
      </c>
      <c r="AD7" t="s">
        <v>62</v>
      </c>
      <c r="AE7">
        <v>3116400</v>
      </c>
      <c r="AF7">
        <v>2700000</v>
      </c>
      <c r="AG7">
        <v>416400</v>
      </c>
      <c r="AH7" t="b">
        <v>1</v>
      </c>
      <c r="AI7" t="b">
        <v>1</v>
      </c>
      <c r="AJ7">
        <v>1</v>
      </c>
      <c r="AK7">
        <v>0</v>
      </c>
      <c r="AL7" t="b">
        <v>1</v>
      </c>
      <c r="AM7" t="b">
        <v>0</v>
      </c>
      <c r="AN7">
        <v>3116400</v>
      </c>
      <c r="AO7">
        <v>416400</v>
      </c>
      <c r="AP7">
        <v>15</v>
      </c>
      <c r="AQ7">
        <v>15</v>
      </c>
      <c r="AR7">
        <v>1</v>
      </c>
      <c r="AS7">
        <v>1</v>
      </c>
      <c r="AT7">
        <v>0</v>
      </c>
      <c r="AU7">
        <v>416400</v>
      </c>
    </row>
    <row r="8" spans="1:47" x14ac:dyDescent="0.3">
      <c r="A8" s="1">
        <v>46191</v>
      </c>
      <c r="B8" t="s">
        <v>111</v>
      </c>
      <c r="C8">
        <v>4</v>
      </c>
      <c r="D8" t="s">
        <v>112</v>
      </c>
      <c r="E8" t="s">
        <v>113</v>
      </c>
      <c r="F8" t="s">
        <v>114</v>
      </c>
      <c r="G8">
        <v>18</v>
      </c>
      <c r="H8">
        <v>18</v>
      </c>
      <c r="I8">
        <v>648000</v>
      </c>
      <c r="J8">
        <v>0.1</v>
      </c>
      <c r="K8" t="s">
        <v>51</v>
      </c>
      <c r="L8" s="1">
        <v>46198</v>
      </c>
      <c r="M8" s="1">
        <v>46198</v>
      </c>
      <c r="N8" t="s">
        <v>106</v>
      </c>
      <c r="P8">
        <v>6</v>
      </c>
      <c r="Q8" t="s">
        <v>115</v>
      </c>
      <c r="R8" t="s">
        <v>75</v>
      </c>
      <c r="S8" t="s">
        <v>55</v>
      </c>
      <c r="T8" t="s">
        <v>56</v>
      </c>
      <c r="U8" t="s">
        <v>116</v>
      </c>
      <c r="V8" t="s">
        <v>71</v>
      </c>
      <c r="W8" t="s">
        <v>72</v>
      </c>
      <c r="X8">
        <v>480000</v>
      </c>
      <c r="Y8">
        <v>648000</v>
      </c>
      <c r="Z8" t="s">
        <v>56</v>
      </c>
      <c r="AA8" t="s">
        <v>60</v>
      </c>
      <c r="AB8" t="s">
        <v>117</v>
      </c>
      <c r="AC8" t="s">
        <v>83</v>
      </c>
      <c r="AD8" t="s">
        <v>118</v>
      </c>
      <c r="AE8">
        <v>10497600</v>
      </c>
      <c r="AF8">
        <v>8640000</v>
      </c>
      <c r="AG8">
        <v>1857600</v>
      </c>
      <c r="AH8" t="b">
        <v>1</v>
      </c>
      <c r="AI8" t="b">
        <v>1</v>
      </c>
      <c r="AJ8">
        <v>1</v>
      </c>
      <c r="AK8">
        <v>0</v>
      </c>
      <c r="AL8" t="b">
        <v>1</v>
      </c>
      <c r="AM8" t="b">
        <v>0</v>
      </c>
      <c r="AN8">
        <v>10497600</v>
      </c>
      <c r="AO8">
        <v>1857600</v>
      </c>
      <c r="AP8">
        <v>18</v>
      </c>
      <c r="AQ8">
        <v>18</v>
      </c>
      <c r="AR8">
        <v>1</v>
      </c>
      <c r="AS8">
        <v>1</v>
      </c>
      <c r="AT8">
        <v>0</v>
      </c>
      <c r="AU8">
        <v>1857600</v>
      </c>
    </row>
    <row r="9" spans="1:47" x14ac:dyDescent="0.3">
      <c r="A9" s="1">
        <v>46052</v>
      </c>
      <c r="B9" t="s">
        <v>119</v>
      </c>
      <c r="C9">
        <v>2</v>
      </c>
      <c r="D9" t="s">
        <v>120</v>
      </c>
      <c r="E9" t="s">
        <v>121</v>
      </c>
      <c r="F9" t="s">
        <v>114</v>
      </c>
      <c r="G9">
        <v>7</v>
      </c>
      <c r="H9">
        <v>5</v>
      </c>
      <c r="I9">
        <v>225000</v>
      </c>
      <c r="J9">
        <v>0.02</v>
      </c>
      <c r="K9" t="s">
        <v>51</v>
      </c>
      <c r="L9" s="1">
        <v>46057</v>
      </c>
      <c r="M9" s="1">
        <v>46059</v>
      </c>
      <c r="N9" t="s">
        <v>106</v>
      </c>
      <c r="P9">
        <v>7</v>
      </c>
      <c r="Q9" t="s">
        <v>122</v>
      </c>
      <c r="R9" t="s">
        <v>54</v>
      </c>
      <c r="S9" t="s">
        <v>123</v>
      </c>
      <c r="T9" t="s">
        <v>56</v>
      </c>
      <c r="U9" t="s">
        <v>124</v>
      </c>
      <c r="V9" t="s">
        <v>86</v>
      </c>
      <c r="W9" t="s">
        <v>87</v>
      </c>
      <c r="X9">
        <v>180000</v>
      </c>
      <c r="Y9">
        <v>225000</v>
      </c>
      <c r="Z9" t="s">
        <v>56</v>
      </c>
      <c r="AA9" t="s">
        <v>60</v>
      </c>
      <c r="AB9" t="s">
        <v>117</v>
      </c>
      <c r="AC9" t="s">
        <v>83</v>
      </c>
      <c r="AD9" t="s">
        <v>94</v>
      </c>
      <c r="AE9">
        <v>1102500</v>
      </c>
      <c r="AF9">
        <v>900000</v>
      </c>
      <c r="AG9">
        <v>202500</v>
      </c>
      <c r="AH9" t="b">
        <v>1</v>
      </c>
      <c r="AI9" t="b">
        <v>1</v>
      </c>
      <c r="AJ9">
        <v>0</v>
      </c>
      <c r="AK9">
        <v>2</v>
      </c>
      <c r="AL9" t="b">
        <v>1</v>
      </c>
      <c r="AM9" t="b">
        <v>0</v>
      </c>
      <c r="AN9">
        <v>1102500</v>
      </c>
      <c r="AO9">
        <v>202500</v>
      </c>
      <c r="AP9">
        <v>5</v>
      </c>
      <c r="AQ9">
        <v>7</v>
      </c>
      <c r="AR9">
        <v>0</v>
      </c>
      <c r="AS9">
        <v>1</v>
      </c>
      <c r="AT9">
        <v>0</v>
      </c>
      <c r="AU9">
        <v>202500</v>
      </c>
    </row>
    <row r="10" spans="1:47" x14ac:dyDescent="0.3">
      <c r="A10" s="1">
        <v>46121</v>
      </c>
      <c r="B10" t="s">
        <v>125</v>
      </c>
      <c r="C10">
        <v>3</v>
      </c>
      <c r="D10" t="s">
        <v>90</v>
      </c>
      <c r="E10" t="s">
        <v>126</v>
      </c>
      <c r="F10" t="s">
        <v>114</v>
      </c>
      <c r="G10">
        <v>34</v>
      </c>
      <c r="H10">
        <v>0</v>
      </c>
      <c r="I10">
        <v>845000</v>
      </c>
      <c r="J10">
        <v>0.08</v>
      </c>
      <c r="K10" t="s">
        <v>127</v>
      </c>
      <c r="L10" s="1">
        <v>46131</v>
      </c>
      <c r="N10" t="s">
        <v>81</v>
      </c>
      <c r="P10">
        <v>8</v>
      </c>
      <c r="Q10" t="s">
        <v>92</v>
      </c>
      <c r="R10" t="s">
        <v>75</v>
      </c>
      <c r="S10" t="s">
        <v>84</v>
      </c>
      <c r="T10" t="s">
        <v>56</v>
      </c>
      <c r="U10" t="s">
        <v>128</v>
      </c>
      <c r="V10" t="s">
        <v>58</v>
      </c>
      <c r="W10" t="s">
        <v>59</v>
      </c>
      <c r="X10">
        <v>650000</v>
      </c>
      <c r="Y10">
        <v>845000</v>
      </c>
      <c r="Z10" t="s">
        <v>56</v>
      </c>
      <c r="AA10" t="s">
        <v>129</v>
      </c>
      <c r="AB10" t="s">
        <v>117</v>
      </c>
      <c r="AC10" t="s">
        <v>83</v>
      </c>
      <c r="AD10" t="s">
        <v>130</v>
      </c>
      <c r="AE10">
        <v>0</v>
      </c>
      <c r="AG10">
        <v>0</v>
      </c>
      <c r="AH10" t="b">
        <v>1</v>
      </c>
      <c r="AI10" t="b">
        <v>0</v>
      </c>
      <c r="AL10" t="b">
        <v>0</v>
      </c>
      <c r="AM10" t="b">
        <v>0</v>
      </c>
      <c r="AN10">
        <v>0</v>
      </c>
      <c r="AO10">
        <v>0</v>
      </c>
      <c r="AP10">
        <v>0</v>
      </c>
      <c r="AQ10">
        <v>0</v>
      </c>
      <c r="AR10">
        <v>0</v>
      </c>
      <c r="AS10">
        <v>0</v>
      </c>
      <c r="AT10">
        <v>0</v>
      </c>
      <c r="AU10">
        <v>0</v>
      </c>
    </row>
    <row r="11" spans="1:47" x14ac:dyDescent="0.3">
      <c r="A11" s="1">
        <v>46116</v>
      </c>
      <c r="B11" t="s">
        <v>131</v>
      </c>
      <c r="C11">
        <v>1</v>
      </c>
      <c r="D11" t="s">
        <v>112</v>
      </c>
      <c r="E11" t="s">
        <v>132</v>
      </c>
      <c r="F11" t="s">
        <v>114</v>
      </c>
      <c r="G11">
        <v>20</v>
      </c>
      <c r="H11">
        <v>20</v>
      </c>
      <c r="I11">
        <v>413000</v>
      </c>
      <c r="J11">
        <v>0.02</v>
      </c>
      <c r="K11" t="s">
        <v>51</v>
      </c>
      <c r="L11" s="1">
        <v>46121</v>
      </c>
      <c r="M11" s="1">
        <v>46124</v>
      </c>
      <c r="N11" t="s">
        <v>52</v>
      </c>
      <c r="P11">
        <v>9</v>
      </c>
      <c r="Q11" t="s">
        <v>115</v>
      </c>
      <c r="R11" t="s">
        <v>75</v>
      </c>
      <c r="S11" t="s">
        <v>55</v>
      </c>
      <c r="T11" t="s">
        <v>56</v>
      </c>
      <c r="U11" t="s">
        <v>133</v>
      </c>
      <c r="V11" t="s">
        <v>109</v>
      </c>
      <c r="W11" t="s">
        <v>110</v>
      </c>
      <c r="X11">
        <v>350000</v>
      </c>
      <c r="Y11">
        <v>413000</v>
      </c>
      <c r="Z11" t="s">
        <v>134</v>
      </c>
      <c r="AA11" t="s">
        <v>73</v>
      </c>
      <c r="AB11" t="s">
        <v>117</v>
      </c>
      <c r="AC11" t="s">
        <v>83</v>
      </c>
      <c r="AD11" t="s">
        <v>130</v>
      </c>
      <c r="AE11">
        <v>8094800</v>
      </c>
      <c r="AF11">
        <v>7000000</v>
      </c>
      <c r="AG11">
        <v>1094800</v>
      </c>
      <c r="AH11" t="b">
        <v>1</v>
      </c>
      <c r="AI11" t="b">
        <v>1</v>
      </c>
      <c r="AJ11">
        <v>0</v>
      </c>
      <c r="AK11">
        <v>3</v>
      </c>
      <c r="AL11" t="b">
        <v>1</v>
      </c>
      <c r="AM11" t="b">
        <v>0</v>
      </c>
      <c r="AN11">
        <v>8094800</v>
      </c>
      <c r="AO11">
        <v>1094800</v>
      </c>
      <c r="AP11">
        <v>20</v>
      </c>
      <c r="AQ11">
        <v>20</v>
      </c>
      <c r="AR11">
        <v>0</v>
      </c>
      <c r="AS11">
        <v>1</v>
      </c>
      <c r="AT11">
        <v>0</v>
      </c>
      <c r="AU11">
        <v>1094800</v>
      </c>
    </row>
    <row r="12" spans="1:47" x14ac:dyDescent="0.3">
      <c r="A12" s="1">
        <v>46164</v>
      </c>
      <c r="B12" t="s">
        <v>135</v>
      </c>
      <c r="C12">
        <v>2</v>
      </c>
      <c r="D12" t="s">
        <v>96</v>
      </c>
      <c r="E12" t="s">
        <v>136</v>
      </c>
      <c r="F12" t="s">
        <v>80</v>
      </c>
      <c r="G12">
        <v>20</v>
      </c>
      <c r="H12">
        <v>20</v>
      </c>
      <c r="I12">
        <v>2304000</v>
      </c>
      <c r="J12">
        <v>0.02</v>
      </c>
      <c r="K12" t="s">
        <v>51</v>
      </c>
      <c r="L12" s="1">
        <v>46166</v>
      </c>
      <c r="M12" s="1">
        <v>46167</v>
      </c>
      <c r="N12" t="s">
        <v>52</v>
      </c>
      <c r="P12">
        <v>10</v>
      </c>
      <c r="Q12" t="s">
        <v>99</v>
      </c>
      <c r="R12" t="s">
        <v>75</v>
      </c>
      <c r="S12" t="s">
        <v>55</v>
      </c>
      <c r="T12" t="s">
        <v>56</v>
      </c>
      <c r="U12" t="s">
        <v>137</v>
      </c>
      <c r="V12" t="s">
        <v>138</v>
      </c>
      <c r="W12" t="s">
        <v>139</v>
      </c>
      <c r="X12">
        <v>1800000</v>
      </c>
      <c r="Y12">
        <v>2304000</v>
      </c>
      <c r="Z12" t="s">
        <v>56</v>
      </c>
      <c r="AA12" t="s">
        <v>129</v>
      </c>
      <c r="AB12" t="s">
        <v>88</v>
      </c>
      <c r="AC12" t="s">
        <v>83</v>
      </c>
      <c r="AD12" t="s">
        <v>76</v>
      </c>
      <c r="AE12">
        <v>45158400</v>
      </c>
      <c r="AF12">
        <v>36000000</v>
      </c>
      <c r="AG12">
        <v>9158400</v>
      </c>
      <c r="AH12" t="b">
        <v>1</v>
      </c>
      <c r="AI12" t="b">
        <v>1</v>
      </c>
      <c r="AJ12">
        <v>0</v>
      </c>
      <c r="AK12">
        <v>1</v>
      </c>
      <c r="AL12" t="b">
        <v>1</v>
      </c>
      <c r="AM12" t="b">
        <v>0</v>
      </c>
      <c r="AN12">
        <v>45158400</v>
      </c>
      <c r="AO12">
        <v>9158400</v>
      </c>
      <c r="AP12">
        <v>20</v>
      </c>
      <c r="AQ12">
        <v>20</v>
      </c>
      <c r="AR12">
        <v>0</v>
      </c>
      <c r="AS12">
        <v>1</v>
      </c>
      <c r="AT12">
        <v>0</v>
      </c>
      <c r="AU12">
        <v>9158400</v>
      </c>
    </row>
    <row r="13" spans="1:47" x14ac:dyDescent="0.3">
      <c r="A13" s="1">
        <v>46142</v>
      </c>
      <c r="B13" t="s">
        <v>140</v>
      </c>
      <c r="C13">
        <v>4</v>
      </c>
      <c r="D13" t="s">
        <v>141</v>
      </c>
      <c r="E13" t="s">
        <v>142</v>
      </c>
      <c r="F13" t="s">
        <v>66</v>
      </c>
      <c r="G13">
        <v>11</v>
      </c>
      <c r="H13">
        <v>9</v>
      </c>
      <c r="I13">
        <v>413000</v>
      </c>
      <c r="J13">
        <v>0.1</v>
      </c>
      <c r="K13" t="s">
        <v>51</v>
      </c>
      <c r="L13" s="1">
        <v>46152</v>
      </c>
      <c r="M13" s="1">
        <v>46154</v>
      </c>
      <c r="N13" t="s">
        <v>52</v>
      </c>
      <c r="P13">
        <v>11</v>
      </c>
      <c r="Q13" t="s">
        <v>143</v>
      </c>
      <c r="R13" t="s">
        <v>75</v>
      </c>
      <c r="S13" t="s">
        <v>55</v>
      </c>
      <c r="T13" t="s">
        <v>56</v>
      </c>
      <c r="U13" t="s">
        <v>144</v>
      </c>
      <c r="V13" t="s">
        <v>109</v>
      </c>
      <c r="W13" t="s">
        <v>110</v>
      </c>
      <c r="X13">
        <v>350000</v>
      </c>
      <c r="Y13">
        <v>413000</v>
      </c>
      <c r="Z13" t="s">
        <v>56</v>
      </c>
      <c r="AA13" t="s">
        <v>129</v>
      </c>
      <c r="AB13" t="s">
        <v>74</v>
      </c>
      <c r="AC13" t="s">
        <v>75</v>
      </c>
      <c r="AD13" t="s">
        <v>130</v>
      </c>
      <c r="AE13">
        <v>3345300</v>
      </c>
      <c r="AF13">
        <v>3150000</v>
      </c>
      <c r="AG13">
        <v>195300</v>
      </c>
      <c r="AH13" t="b">
        <v>1</v>
      </c>
      <c r="AI13" t="b">
        <v>1</v>
      </c>
      <c r="AJ13">
        <v>0</v>
      </c>
      <c r="AK13">
        <v>2</v>
      </c>
      <c r="AL13" t="b">
        <v>1</v>
      </c>
      <c r="AM13" t="b">
        <v>0</v>
      </c>
      <c r="AN13">
        <v>3345300</v>
      </c>
      <c r="AO13">
        <v>195300</v>
      </c>
      <c r="AP13">
        <v>9</v>
      </c>
      <c r="AQ13">
        <v>11</v>
      </c>
      <c r="AR13">
        <v>0</v>
      </c>
      <c r="AS13">
        <v>1</v>
      </c>
      <c r="AT13">
        <v>0</v>
      </c>
      <c r="AU13">
        <v>195300</v>
      </c>
    </row>
    <row r="14" spans="1:47" x14ac:dyDescent="0.3">
      <c r="A14" s="1">
        <v>46046</v>
      </c>
      <c r="B14" t="s">
        <v>145</v>
      </c>
      <c r="C14">
        <v>3</v>
      </c>
      <c r="D14" t="s">
        <v>146</v>
      </c>
      <c r="E14" t="s">
        <v>147</v>
      </c>
      <c r="F14" t="s">
        <v>80</v>
      </c>
      <c r="G14">
        <v>2</v>
      </c>
      <c r="H14">
        <v>0</v>
      </c>
      <c r="I14">
        <v>614000</v>
      </c>
      <c r="J14">
        <v>0</v>
      </c>
      <c r="K14" t="s">
        <v>51</v>
      </c>
      <c r="L14" s="1">
        <v>46051</v>
      </c>
      <c r="M14" s="1">
        <v>46052</v>
      </c>
      <c r="N14" t="s">
        <v>81</v>
      </c>
      <c r="P14">
        <v>12</v>
      </c>
      <c r="Q14" t="s">
        <v>148</v>
      </c>
      <c r="R14" t="s">
        <v>75</v>
      </c>
      <c r="S14" t="s">
        <v>69</v>
      </c>
      <c r="T14" t="s">
        <v>56</v>
      </c>
      <c r="U14" t="s">
        <v>149</v>
      </c>
      <c r="V14" t="s">
        <v>138</v>
      </c>
      <c r="W14" t="s">
        <v>139</v>
      </c>
      <c r="X14">
        <v>480000</v>
      </c>
      <c r="Y14">
        <v>614000</v>
      </c>
      <c r="Z14" t="s">
        <v>56</v>
      </c>
      <c r="AA14" t="s">
        <v>129</v>
      </c>
      <c r="AB14" t="s">
        <v>88</v>
      </c>
      <c r="AC14" t="s">
        <v>83</v>
      </c>
      <c r="AD14" t="s">
        <v>94</v>
      </c>
      <c r="AE14">
        <v>0</v>
      </c>
      <c r="AF14">
        <v>0</v>
      </c>
      <c r="AG14">
        <v>0</v>
      </c>
      <c r="AH14" t="b">
        <v>1</v>
      </c>
      <c r="AI14" t="b">
        <v>1</v>
      </c>
      <c r="AJ14">
        <v>0</v>
      </c>
      <c r="AK14">
        <v>1</v>
      </c>
      <c r="AL14" t="b">
        <v>1</v>
      </c>
      <c r="AM14" t="b">
        <v>0</v>
      </c>
      <c r="AN14">
        <v>0</v>
      </c>
      <c r="AO14">
        <v>0</v>
      </c>
      <c r="AP14">
        <v>0</v>
      </c>
      <c r="AQ14">
        <v>2</v>
      </c>
      <c r="AR14">
        <v>0</v>
      </c>
      <c r="AS14">
        <v>1</v>
      </c>
      <c r="AT14">
        <v>0</v>
      </c>
      <c r="AU14">
        <v>0</v>
      </c>
    </row>
    <row r="15" spans="1:47" x14ac:dyDescent="0.3">
      <c r="A15" s="1">
        <v>46201</v>
      </c>
      <c r="B15" t="s">
        <v>150</v>
      </c>
      <c r="C15">
        <v>4</v>
      </c>
      <c r="D15" t="s">
        <v>151</v>
      </c>
      <c r="E15" t="s">
        <v>152</v>
      </c>
      <c r="F15" t="s">
        <v>80</v>
      </c>
      <c r="G15">
        <v>1</v>
      </c>
      <c r="H15">
        <v>0</v>
      </c>
      <c r="I15">
        <v>845000</v>
      </c>
      <c r="J15">
        <v>0</v>
      </c>
      <c r="K15" t="s">
        <v>127</v>
      </c>
      <c r="L15" s="1">
        <v>46206</v>
      </c>
      <c r="N15" t="s">
        <v>81</v>
      </c>
      <c r="P15">
        <v>13</v>
      </c>
      <c r="Q15" t="s">
        <v>153</v>
      </c>
      <c r="R15" t="s">
        <v>75</v>
      </c>
      <c r="S15" t="s">
        <v>69</v>
      </c>
      <c r="T15" t="s">
        <v>56</v>
      </c>
      <c r="U15" t="s">
        <v>154</v>
      </c>
      <c r="V15" t="s">
        <v>58</v>
      </c>
      <c r="W15" t="s">
        <v>59</v>
      </c>
      <c r="X15">
        <v>650000</v>
      </c>
      <c r="Y15">
        <v>845000</v>
      </c>
      <c r="Z15" t="s">
        <v>56</v>
      </c>
      <c r="AA15" t="s">
        <v>73</v>
      </c>
      <c r="AB15" t="s">
        <v>88</v>
      </c>
      <c r="AC15" t="s">
        <v>83</v>
      </c>
      <c r="AD15" t="s">
        <v>118</v>
      </c>
      <c r="AE15">
        <v>0</v>
      </c>
      <c r="AG15">
        <v>0</v>
      </c>
      <c r="AH15" t="b">
        <v>1</v>
      </c>
      <c r="AI15" t="b">
        <v>0</v>
      </c>
      <c r="AL15" t="b">
        <v>0</v>
      </c>
      <c r="AM15" t="b">
        <v>0</v>
      </c>
      <c r="AN15">
        <v>0</v>
      </c>
      <c r="AO15">
        <v>0</v>
      </c>
      <c r="AP15">
        <v>0</v>
      </c>
      <c r="AQ15">
        <v>0</v>
      </c>
      <c r="AR15">
        <v>0</v>
      </c>
      <c r="AS15">
        <v>0</v>
      </c>
      <c r="AT15">
        <v>0</v>
      </c>
      <c r="AU15">
        <v>0</v>
      </c>
    </row>
    <row r="16" spans="1:47" x14ac:dyDescent="0.3">
      <c r="A16" s="1">
        <v>46068</v>
      </c>
      <c r="B16" t="s">
        <v>155</v>
      </c>
      <c r="C16">
        <v>4</v>
      </c>
      <c r="D16" t="s">
        <v>64</v>
      </c>
      <c r="E16" t="s">
        <v>156</v>
      </c>
      <c r="F16" t="s">
        <v>80</v>
      </c>
      <c r="G16">
        <v>8</v>
      </c>
      <c r="H16">
        <v>6</v>
      </c>
      <c r="I16">
        <v>243000</v>
      </c>
      <c r="J16">
        <v>0.08</v>
      </c>
      <c r="K16" t="s">
        <v>51</v>
      </c>
      <c r="L16" s="1">
        <v>46075</v>
      </c>
      <c r="M16" s="1">
        <v>46077</v>
      </c>
      <c r="N16" t="s">
        <v>52</v>
      </c>
      <c r="P16">
        <v>14</v>
      </c>
      <c r="Q16" t="s">
        <v>68</v>
      </c>
      <c r="R16" t="s">
        <v>54</v>
      </c>
      <c r="S16" t="s">
        <v>69</v>
      </c>
      <c r="T16" t="s">
        <v>56</v>
      </c>
      <c r="U16" t="s">
        <v>157</v>
      </c>
      <c r="V16" t="s">
        <v>71</v>
      </c>
      <c r="W16" t="s">
        <v>72</v>
      </c>
      <c r="X16">
        <v>180000</v>
      </c>
      <c r="Y16">
        <v>243000</v>
      </c>
      <c r="Z16" t="s">
        <v>56</v>
      </c>
      <c r="AA16" t="s">
        <v>73</v>
      </c>
      <c r="AB16" t="s">
        <v>88</v>
      </c>
      <c r="AC16" t="s">
        <v>83</v>
      </c>
      <c r="AD16" t="s">
        <v>158</v>
      </c>
      <c r="AE16">
        <v>1341360</v>
      </c>
      <c r="AF16">
        <v>1080000</v>
      </c>
      <c r="AG16">
        <v>261360</v>
      </c>
      <c r="AH16" t="b">
        <v>1</v>
      </c>
      <c r="AI16" t="b">
        <v>1</v>
      </c>
      <c r="AJ16">
        <v>0</v>
      </c>
      <c r="AK16">
        <v>2</v>
      </c>
      <c r="AL16" t="b">
        <v>1</v>
      </c>
      <c r="AM16" t="b">
        <v>0</v>
      </c>
      <c r="AN16">
        <v>1341360</v>
      </c>
      <c r="AO16">
        <v>261360</v>
      </c>
      <c r="AP16">
        <v>6</v>
      </c>
      <c r="AQ16">
        <v>8</v>
      </c>
      <c r="AR16">
        <v>0</v>
      </c>
      <c r="AS16">
        <v>1</v>
      </c>
      <c r="AT16">
        <v>0</v>
      </c>
      <c r="AU16">
        <v>261360</v>
      </c>
    </row>
    <row r="17" spans="1:47" x14ac:dyDescent="0.3">
      <c r="A17" s="1">
        <v>46136</v>
      </c>
      <c r="B17" t="s">
        <v>159</v>
      </c>
      <c r="C17">
        <v>4</v>
      </c>
      <c r="D17" t="s">
        <v>48</v>
      </c>
      <c r="E17" t="s">
        <v>160</v>
      </c>
      <c r="F17" t="s">
        <v>80</v>
      </c>
      <c r="G17">
        <v>31</v>
      </c>
      <c r="H17">
        <v>30</v>
      </c>
      <c r="I17">
        <v>1125000</v>
      </c>
      <c r="J17">
        <v>0.02</v>
      </c>
      <c r="K17" t="s">
        <v>51</v>
      </c>
      <c r="L17" s="1">
        <v>46143</v>
      </c>
      <c r="M17" s="1">
        <v>46144</v>
      </c>
      <c r="N17" t="s">
        <v>81</v>
      </c>
      <c r="P17">
        <v>15</v>
      </c>
      <c r="Q17" t="s">
        <v>53</v>
      </c>
      <c r="R17" t="s">
        <v>54</v>
      </c>
      <c r="S17" t="s">
        <v>55</v>
      </c>
      <c r="T17" t="s">
        <v>56</v>
      </c>
      <c r="U17" t="s">
        <v>161</v>
      </c>
      <c r="V17" t="s">
        <v>86</v>
      </c>
      <c r="W17" t="s">
        <v>87</v>
      </c>
      <c r="X17">
        <v>900000</v>
      </c>
      <c r="Y17">
        <v>1125000</v>
      </c>
      <c r="Z17" t="s">
        <v>56</v>
      </c>
      <c r="AA17" t="s">
        <v>60</v>
      </c>
      <c r="AB17" t="s">
        <v>88</v>
      </c>
      <c r="AC17" t="s">
        <v>83</v>
      </c>
      <c r="AD17" t="s">
        <v>130</v>
      </c>
      <c r="AE17">
        <v>33075000</v>
      </c>
      <c r="AF17">
        <v>27000000</v>
      </c>
      <c r="AG17">
        <v>6075000</v>
      </c>
      <c r="AH17" t="b">
        <v>1</v>
      </c>
      <c r="AI17" t="b">
        <v>1</v>
      </c>
      <c r="AJ17">
        <v>0</v>
      </c>
      <c r="AK17">
        <v>1</v>
      </c>
      <c r="AL17" t="b">
        <v>1</v>
      </c>
      <c r="AM17" t="b">
        <v>0</v>
      </c>
      <c r="AN17">
        <v>33075000</v>
      </c>
      <c r="AO17">
        <v>6075000</v>
      </c>
      <c r="AP17">
        <v>30</v>
      </c>
      <c r="AQ17">
        <v>31</v>
      </c>
      <c r="AR17">
        <v>0</v>
      </c>
      <c r="AS17">
        <v>1</v>
      </c>
      <c r="AT17">
        <v>0</v>
      </c>
      <c r="AU17">
        <v>6075000</v>
      </c>
    </row>
    <row r="18" spans="1:47" x14ac:dyDescent="0.3">
      <c r="A18" s="1">
        <v>46093</v>
      </c>
      <c r="B18" t="s">
        <v>162</v>
      </c>
      <c r="C18">
        <v>1</v>
      </c>
      <c r="D18" t="s">
        <v>163</v>
      </c>
      <c r="E18" t="s">
        <v>152</v>
      </c>
      <c r="F18" t="s">
        <v>50</v>
      </c>
      <c r="G18">
        <v>22</v>
      </c>
      <c r="H18">
        <v>22</v>
      </c>
      <c r="I18">
        <v>845000</v>
      </c>
      <c r="J18">
        <v>0</v>
      </c>
      <c r="K18" t="s">
        <v>51</v>
      </c>
      <c r="L18" s="1">
        <v>46095</v>
      </c>
      <c r="M18" s="1">
        <v>46095</v>
      </c>
      <c r="N18" t="s">
        <v>67</v>
      </c>
      <c r="P18">
        <v>16</v>
      </c>
      <c r="Q18" t="s">
        <v>164</v>
      </c>
      <c r="R18" t="s">
        <v>75</v>
      </c>
      <c r="S18" t="s">
        <v>69</v>
      </c>
      <c r="T18" t="s">
        <v>56</v>
      </c>
      <c r="U18" t="s">
        <v>154</v>
      </c>
      <c r="V18" t="s">
        <v>58</v>
      </c>
      <c r="W18" t="s">
        <v>59</v>
      </c>
      <c r="X18">
        <v>650000</v>
      </c>
      <c r="Y18">
        <v>845000</v>
      </c>
      <c r="Z18" t="s">
        <v>56</v>
      </c>
      <c r="AA18" t="s">
        <v>73</v>
      </c>
      <c r="AB18" t="s">
        <v>61</v>
      </c>
      <c r="AC18" t="s">
        <v>54</v>
      </c>
      <c r="AD18" t="s">
        <v>62</v>
      </c>
      <c r="AE18">
        <v>18590000</v>
      </c>
      <c r="AF18">
        <v>14300000</v>
      </c>
      <c r="AG18">
        <v>4290000</v>
      </c>
      <c r="AH18" t="b">
        <v>1</v>
      </c>
      <c r="AI18" t="b">
        <v>1</v>
      </c>
      <c r="AJ18">
        <v>1</v>
      </c>
      <c r="AK18">
        <v>0</v>
      </c>
      <c r="AL18" t="b">
        <v>1</v>
      </c>
      <c r="AM18" t="b">
        <v>0</v>
      </c>
      <c r="AN18">
        <v>18590000</v>
      </c>
      <c r="AO18">
        <v>4290000</v>
      </c>
      <c r="AP18">
        <v>22</v>
      </c>
      <c r="AQ18">
        <v>22</v>
      </c>
      <c r="AR18">
        <v>1</v>
      </c>
      <c r="AS18">
        <v>1</v>
      </c>
      <c r="AT18">
        <v>0</v>
      </c>
      <c r="AU18">
        <v>4290000</v>
      </c>
    </row>
    <row r="19" spans="1:47" x14ac:dyDescent="0.3">
      <c r="A19" s="1">
        <v>46200</v>
      </c>
      <c r="B19" t="s">
        <v>165</v>
      </c>
      <c r="C19">
        <v>2</v>
      </c>
      <c r="D19" t="s">
        <v>166</v>
      </c>
      <c r="E19" t="s">
        <v>167</v>
      </c>
      <c r="F19" t="s">
        <v>66</v>
      </c>
      <c r="G19">
        <v>22</v>
      </c>
      <c r="H19">
        <v>22</v>
      </c>
      <c r="I19">
        <v>1062000</v>
      </c>
      <c r="J19">
        <v>0</v>
      </c>
      <c r="K19" t="s">
        <v>51</v>
      </c>
      <c r="L19" s="1">
        <v>46205</v>
      </c>
      <c r="M19" s="1">
        <v>46206</v>
      </c>
      <c r="N19" t="s">
        <v>106</v>
      </c>
      <c r="P19">
        <v>17</v>
      </c>
      <c r="Q19" t="s">
        <v>168</v>
      </c>
      <c r="R19" t="s">
        <v>54</v>
      </c>
      <c r="S19" t="s">
        <v>123</v>
      </c>
      <c r="T19" t="s">
        <v>56</v>
      </c>
      <c r="U19" t="s">
        <v>169</v>
      </c>
      <c r="V19" t="s">
        <v>109</v>
      </c>
      <c r="W19" t="s">
        <v>110</v>
      </c>
      <c r="X19">
        <v>900000</v>
      </c>
      <c r="Y19">
        <v>1062000</v>
      </c>
      <c r="Z19" t="s">
        <v>56</v>
      </c>
      <c r="AA19" t="s">
        <v>60</v>
      </c>
      <c r="AB19" t="s">
        <v>74</v>
      </c>
      <c r="AC19" t="s">
        <v>75</v>
      </c>
      <c r="AD19" t="s">
        <v>118</v>
      </c>
      <c r="AE19">
        <v>23364000</v>
      </c>
      <c r="AF19">
        <v>19800000</v>
      </c>
      <c r="AG19">
        <v>3564000</v>
      </c>
      <c r="AH19" t="b">
        <v>1</v>
      </c>
      <c r="AI19" t="b">
        <v>1</v>
      </c>
      <c r="AJ19">
        <v>0</v>
      </c>
      <c r="AK19">
        <v>1</v>
      </c>
      <c r="AL19" t="b">
        <v>1</v>
      </c>
      <c r="AM19" t="b">
        <v>0</v>
      </c>
      <c r="AN19">
        <v>23364000</v>
      </c>
      <c r="AO19">
        <v>3564000</v>
      </c>
      <c r="AP19">
        <v>22</v>
      </c>
      <c r="AQ19">
        <v>22</v>
      </c>
      <c r="AR19">
        <v>0</v>
      </c>
      <c r="AS19">
        <v>1</v>
      </c>
      <c r="AT19">
        <v>0</v>
      </c>
      <c r="AU19">
        <v>3564000</v>
      </c>
    </row>
    <row r="20" spans="1:47" x14ac:dyDescent="0.3">
      <c r="A20" s="1">
        <v>46170</v>
      </c>
      <c r="B20" t="s">
        <v>170</v>
      </c>
      <c r="C20">
        <v>4</v>
      </c>
      <c r="D20" t="s">
        <v>171</v>
      </c>
      <c r="E20" t="s">
        <v>91</v>
      </c>
      <c r="F20" t="s">
        <v>50</v>
      </c>
      <c r="G20">
        <v>25</v>
      </c>
      <c r="H20">
        <v>0</v>
      </c>
      <c r="I20">
        <v>2250000</v>
      </c>
      <c r="J20">
        <v>0.05</v>
      </c>
      <c r="K20" t="s">
        <v>127</v>
      </c>
      <c r="L20" s="1">
        <v>46177</v>
      </c>
      <c r="N20" t="s">
        <v>81</v>
      </c>
      <c r="P20">
        <v>18</v>
      </c>
      <c r="Q20" t="s">
        <v>172</v>
      </c>
      <c r="R20" t="s">
        <v>54</v>
      </c>
      <c r="S20" t="s">
        <v>84</v>
      </c>
      <c r="T20" t="s">
        <v>56</v>
      </c>
      <c r="U20" t="s">
        <v>93</v>
      </c>
      <c r="V20" t="s">
        <v>86</v>
      </c>
      <c r="W20" t="s">
        <v>87</v>
      </c>
      <c r="X20">
        <v>1800000</v>
      </c>
      <c r="Y20">
        <v>2250000</v>
      </c>
      <c r="Z20" t="s">
        <v>56</v>
      </c>
      <c r="AA20" t="s">
        <v>60</v>
      </c>
      <c r="AB20" t="s">
        <v>61</v>
      </c>
      <c r="AC20" t="s">
        <v>54</v>
      </c>
      <c r="AD20" t="s">
        <v>76</v>
      </c>
      <c r="AE20">
        <v>0</v>
      </c>
      <c r="AG20">
        <v>0</v>
      </c>
      <c r="AH20" t="b">
        <v>1</v>
      </c>
      <c r="AI20" t="b">
        <v>0</v>
      </c>
      <c r="AL20" t="b">
        <v>0</v>
      </c>
      <c r="AM20" t="b">
        <v>0</v>
      </c>
      <c r="AN20">
        <v>0</v>
      </c>
      <c r="AO20">
        <v>0</v>
      </c>
      <c r="AP20">
        <v>0</v>
      </c>
      <c r="AQ20">
        <v>0</v>
      </c>
      <c r="AR20">
        <v>0</v>
      </c>
      <c r="AS20">
        <v>0</v>
      </c>
      <c r="AT20">
        <v>0</v>
      </c>
      <c r="AU20">
        <v>0</v>
      </c>
    </row>
    <row r="21" spans="1:47" x14ac:dyDescent="0.3">
      <c r="A21" s="1">
        <v>46147</v>
      </c>
      <c r="B21" t="s">
        <v>173</v>
      </c>
      <c r="C21">
        <v>3</v>
      </c>
      <c r="D21" t="s">
        <v>174</v>
      </c>
      <c r="E21" t="s">
        <v>175</v>
      </c>
      <c r="F21" t="s">
        <v>114</v>
      </c>
      <c r="G21">
        <v>25</v>
      </c>
      <c r="H21">
        <v>25</v>
      </c>
      <c r="I21">
        <v>1098000</v>
      </c>
      <c r="J21">
        <v>0.1</v>
      </c>
      <c r="K21" t="s">
        <v>51</v>
      </c>
      <c r="L21" s="1">
        <v>46149</v>
      </c>
      <c r="M21" s="1">
        <v>46156</v>
      </c>
      <c r="N21" t="s">
        <v>67</v>
      </c>
      <c r="P21">
        <v>19</v>
      </c>
      <c r="Q21" t="s">
        <v>176</v>
      </c>
      <c r="R21" t="s">
        <v>83</v>
      </c>
      <c r="S21" t="s">
        <v>69</v>
      </c>
      <c r="T21" t="s">
        <v>56</v>
      </c>
      <c r="U21" t="s">
        <v>177</v>
      </c>
      <c r="V21" t="s">
        <v>101</v>
      </c>
      <c r="W21" t="s">
        <v>102</v>
      </c>
      <c r="X21">
        <v>900000</v>
      </c>
      <c r="Y21">
        <v>1098000</v>
      </c>
      <c r="Z21" t="s">
        <v>56</v>
      </c>
      <c r="AA21" t="s">
        <v>129</v>
      </c>
      <c r="AB21" t="s">
        <v>117</v>
      </c>
      <c r="AC21" t="s">
        <v>83</v>
      </c>
      <c r="AD21" t="s">
        <v>76</v>
      </c>
      <c r="AE21">
        <v>24705000</v>
      </c>
      <c r="AF21">
        <v>22500000</v>
      </c>
      <c r="AG21">
        <v>2205000</v>
      </c>
      <c r="AH21" t="b">
        <v>1</v>
      </c>
      <c r="AI21" t="b">
        <v>1</v>
      </c>
      <c r="AJ21">
        <v>0</v>
      </c>
      <c r="AK21">
        <v>7</v>
      </c>
      <c r="AL21" t="b">
        <v>1</v>
      </c>
      <c r="AM21" t="b">
        <v>0</v>
      </c>
      <c r="AN21">
        <v>24705000</v>
      </c>
      <c r="AO21">
        <v>2205000</v>
      </c>
      <c r="AP21">
        <v>25</v>
      </c>
      <c r="AQ21">
        <v>25</v>
      </c>
      <c r="AR21">
        <v>0</v>
      </c>
      <c r="AS21">
        <v>1</v>
      </c>
      <c r="AT21">
        <v>0</v>
      </c>
      <c r="AU21">
        <v>2205000</v>
      </c>
    </row>
    <row r="22" spans="1:47" x14ac:dyDescent="0.3">
      <c r="A22" s="1">
        <v>46055</v>
      </c>
      <c r="B22" t="s">
        <v>178</v>
      </c>
      <c r="C22">
        <v>1</v>
      </c>
      <c r="D22" t="s">
        <v>151</v>
      </c>
      <c r="E22" t="s">
        <v>97</v>
      </c>
      <c r="F22" t="s">
        <v>114</v>
      </c>
      <c r="G22">
        <v>28</v>
      </c>
      <c r="H22">
        <v>28</v>
      </c>
      <c r="I22">
        <v>427000</v>
      </c>
      <c r="J22">
        <v>0</v>
      </c>
      <c r="K22" t="s">
        <v>51</v>
      </c>
      <c r="L22" s="1">
        <v>46058</v>
      </c>
      <c r="M22" s="1">
        <v>46059</v>
      </c>
      <c r="N22" t="s">
        <v>52</v>
      </c>
      <c r="P22">
        <v>20</v>
      </c>
      <c r="Q22" t="s">
        <v>153</v>
      </c>
      <c r="R22" t="s">
        <v>75</v>
      </c>
      <c r="S22" t="s">
        <v>69</v>
      </c>
      <c r="T22" t="s">
        <v>56</v>
      </c>
      <c r="U22" t="s">
        <v>100</v>
      </c>
      <c r="V22" t="s">
        <v>101</v>
      </c>
      <c r="W22" t="s">
        <v>102</v>
      </c>
      <c r="X22">
        <v>350000</v>
      </c>
      <c r="Y22">
        <v>427000</v>
      </c>
      <c r="Z22" t="s">
        <v>56</v>
      </c>
      <c r="AA22" t="s">
        <v>73</v>
      </c>
      <c r="AB22" t="s">
        <v>117</v>
      </c>
      <c r="AC22" t="s">
        <v>83</v>
      </c>
      <c r="AD22" t="s">
        <v>158</v>
      </c>
      <c r="AE22">
        <v>11956000</v>
      </c>
      <c r="AF22">
        <v>9800000</v>
      </c>
      <c r="AG22">
        <v>2156000</v>
      </c>
      <c r="AH22" t="b">
        <v>1</v>
      </c>
      <c r="AI22" t="b">
        <v>1</v>
      </c>
      <c r="AJ22">
        <v>0</v>
      </c>
      <c r="AK22">
        <v>1</v>
      </c>
      <c r="AL22" t="b">
        <v>1</v>
      </c>
      <c r="AM22" t="b">
        <v>0</v>
      </c>
      <c r="AN22">
        <v>11956000</v>
      </c>
      <c r="AO22">
        <v>2156000</v>
      </c>
      <c r="AP22">
        <v>28</v>
      </c>
      <c r="AQ22">
        <v>28</v>
      </c>
      <c r="AR22">
        <v>0</v>
      </c>
      <c r="AS22">
        <v>1</v>
      </c>
      <c r="AT22">
        <v>0</v>
      </c>
      <c r="AU22">
        <v>2156000</v>
      </c>
    </row>
    <row r="23" spans="1:47" x14ac:dyDescent="0.3">
      <c r="A23" s="1">
        <v>46077</v>
      </c>
      <c r="B23" t="s">
        <v>179</v>
      </c>
      <c r="C23">
        <v>3</v>
      </c>
      <c r="D23" t="s">
        <v>112</v>
      </c>
      <c r="E23" t="s">
        <v>136</v>
      </c>
      <c r="F23" t="s">
        <v>50</v>
      </c>
      <c r="G23">
        <v>27</v>
      </c>
      <c r="H23">
        <v>27</v>
      </c>
      <c r="I23">
        <v>2304000</v>
      </c>
      <c r="J23">
        <v>0</v>
      </c>
      <c r="K23" t="s">
        <v>51</v>
      </c>
      <c r="L23" s="1">
        <v>46087</v>
      </c>
      <c r="M23" s="1">
        <v>46089</v>
      </c>
      <c r="N23" t="s">
        <v>106</v>
      </c>
      <c r="P23">
        <v>21</v>
      </c>
      <c r="Q23" t="s">
        <v>115</v>
      </c>
      <c r="R23" t="s">
        <v>75</v>
      </c>
      <c r="S23" t="s">
        <v>55</v>
      </c>
      <c r="T23" t="s">
        <v>56</v>
      </c>
      <c r="U23" t="s">
        <v>137</v>
      </c>
      <c r="V23" t="s">
        <v>138</v>
      </c>
      <c r="W23" t="s">
        <v>139</v>
      </c>
      <c r="X23">
        <v>1800000</v>
      </c>
      <c r="Y23">
        <v>2304000</v>
      </c>
      <c r="Z23" t="s">
        <v>56</v>
      </c>
      <c r="AA23" t="s">
        <v>129</v>
      </c>
      <c r="AB23" t="s">
        <v>61</v>
      </c>
      <c r="AC23" t="s">
        <v>54</v>
      </c>
      <c r="AD23" t="s">
        <v>158</v>
      </c>
      <c r="AE23">
        <v>62208000</v>
      </c>
      <c r="AF23">
        <v>48600000</v>
      </c>
      <c r="AG23">
        <v>13608000</v>
      </c>
      <c r="AH23" t="b">
        <v>1</v>
      </c>
      <c r="AI23" t="b">
        <v>1</v>
      </c>
      <c r="AJ23">
        <v>0</v>
      </c>
      <c r="AK23">
        <v>2</v>
      </c>
      <c r="AL23" t="b">
        <v>1</v>
      </c>
      <c r="AM23" t="b">
        <v>0</v>
      </c>
      <c r="AN23">
        <v>62208000</v>
      </c>
      <c r="AO23">
        <v>13608000</v>
      </c>
      <c r="AP23">
        <v>27</v>
      </c>
      <c r="AQ23">
        <v>27</v>
      </c>
      <c r="AR23">
        <v>0</v>
      </c>
      <c r="AS23">
        <v>1</v>
      </c>
      <c r="AT23">
        <v>0</v>
      </c>
      <c r="AU23">
        <v>13608000</v>
      </c>
    </row>
    <row r="24" spans="1:47" x14ac:dyDescent="0.3">
      <c r="A24" s="1">
        <v>46112</v>
      </c>
      <c r="B24" t="s">
        <v>180</v>
      </c>
      <c r="C24">
        <v>1</v>
      </c>
      <c r="D24" t="s">
        <v>90</v>
      </c>
      <c r="E24" t="s">
        <v>97</v>
      </c>
      <c r="F24" t="s">
        <v>80</v>
      </c>
      <c r="G24">
        <v>13</v>
      </c>
      <c r="H24">
        <v>9</v>
      </c>
      <c r="I24">
        <v>427000</v>
      </c>
      <c r="J24">
        <v>0</v>
      </c>
      <c r="K24" t="s">
        <v>98</v>
      </c>
      <c r="L24" s="1">
        <v>46114</v>
      </c>
      <c r="N24" t="s">
        <v>81</v>
      </c>
      <c r="P24">
        <v>22</v>
      </c>
      <c r="Q24" t="s">
        <v>92</v>
      </c>
      <c r="R24" t="s">
        <v>75</v>
      </c>
      <c r="S24" t="s">
        <v>84</v>
      </c>
      <c r="T24" t="s">
        <v>56</v>
      </c>
      <c r="U24" t="s">
        <v>100</v>
      </c>
      <c r="V24" t="s">
        <v>101</v>
      </c>
      <c r="W24" t="s">
        <v>102</v>
      </c>
      <c r="X24">
        <v>350000</v>
      </c>
      <c r="Y24">
        <v>427000</v>
      </c>
      <c r="Z24" t="s">
        <v>56</v>
      </c>
      <c r="AA24" t="s">
        <v>73</v>
      </c>
      <c r="AB24" t="s">
        <v>88</v>
      </c>
      <c r="AC24" t="s">
        <v>83</v>
      </c>
      <c r="AD24" t="s">
        <v>62</v>
      </c>
      <c r="AE24">
        <v>3843000</v>
      </c>
      <c r="AF24">
        <v>3150000</v>
      </c>
      <c r="AG24">
        <v>693000</v>
      </c>
      <c r="AH24" t="b">
        <v>1</v>
      </c>
      <c r="AI24" t="b">
        <v>0</v>
      </c>
      <c r="AL24" t="b">
        <v>1</v>
      </c>
      <c r="AM24" t="b">
        <v>0</v>
      </c>
      <c r="AN24">
        <v>3843000</v>
      </c>
      <c r="AO24">
        <v>693000</v>
      </c>
      <c r="AP24">
        <v>9</v>
      </c>
      <c r="AQ24">
        <v>13</v>
      </c>
      <c r="AR24">
        <v>0</v>
      </c>
      <c r="AS24">
        <v>0</v>
      </c>
      <c r="AT24">
        <v>0</v>
      </c>
      <c r="AU24">
        <v>693000</v>
      </c>
    </row>
    <row r="25" spans="1:47" x14ac:dyDescent="0.3">
      <c r="A25" s="1">
        <v>46144</v>
      </c>
      <c r="B25" t="s">
        <v>181</v>
      </c>
      <c r="C25">
        <v>2</v>
      </c>
      <c r="D25" t="s">
        <v>182</v>
      </c>
      <c r="E25" t="s">
        <v>121</v>
      </c>
      <c r="F25" t="s">
        <v>50</v>
      </c>
      <c r="G25">
        <v>11</v>
      </c>
      <c r="H25">
        <v>8</v>
      </c>
      <c r="I25">
        <v>225000</v>
      </c>
      <c r="J25">
        <v>0</v>
      </c>
      <c r="K25" t="s">
        <v>51</v>
      </c>
      <c r="L25" s="1">
        <v>46146</v>
      </c>
      <c r="M25" s="1">
        <v>46146</v>
      </c>
      <c r="N25" t="s">
        <v>106</v>
      </c>
      <c r="P25">
        <v>23</v>
      </c>
      <c r="Q25" t="s">
        <v>183</v>
      </c>
      <c r="R25" t="s">
        <v>75</v>
      </c>
      <c r="S25" t="s">
        <v>69</v>
      </c>
      <c r="T25" t="s">
        <v>56</v>
      </c>
      <c r="U25" t="s">
        <v>124</v>
      </c>
      <c r="V25" t="s">
        <v>86</v>
      </c>
      <c r="W25" t="s">
        <v>87</v>
      </c>
      <c r="X25">
        <v>180000</v>
      </c>
      <c r="Y25">
        <v>225000</v>
      </c>
      <c r="Z25" t="s">
        <v>56</v>
      </c>
      <c r="AA25" t="s">
        <v>60</v>
      </c>
      <c r="AB25" t="s">
        <v>61</v>
      </c>
      <c r="AC25" t="s">
        <v>54</v>
      </c>
      <c r="AD25" t="s">
        <v>76</v>
      </c>
      <c r="AE25">
        <v>1800000</v>
      </c>
      <c r="AF25">
        <v>1440000</v>
      </c>
      <c r="AG25">
        <v>360000</v>
      </c>
      <c r="AH25" t="b">
        <v>1</v>
      </c>
      <c r="AI25" t="b">
        <v>1</v>
      </c>
      <c r="AJ25">
        <v>1</v>
      </c>
      <c r="AK25">
        <v>0</v>
      </c>
      <c r="AL25" t="b">
        <v>1</v>
      </c>
      <c r="AM25" t="b">
        <v>0</v>
      </c>
      <c r="AN25">
        <v>1800000</v>
      </c>
      <c r="AO25">
        <v>360000</v>
      </c>
      <c r="AP25">
        <v>8</v>
      </c>
      <c r="AQ25">
        <v>11</v>
      </c>
      <c r="AR25">
        <v>1</v>
      </c>
      <c r="AS25">
        <v>1</v>
      </c>
      <c r="AT25">
        <v>0</v>
      </c>
      <c r="AU25">
        <v>360000</v>
      </c>
    </row>
    <row r="26" spans="1:47" x14ac:dyDescent="0.3">
      <c r="A26" s="1">
        <v>46171</v>
      </c>
      <c r="B26" t="s">
        <v>184</v>
      </c>
      <c r="C26">
        <v>3</v>
      </c>
      <c r="D26" t="s">
        <v>185</v>
      </c>
      <c r="E26" t="s">
        <v>136</v>
      </c>
      <c r="F26" t="s">
        <v>66</v>
      </c>
      <c r="G26">
        <v>13</v>
      </c>
      <c r="H26">
        <v>10</v>
      </c>
      <c r="I26">
        <v>2304000</v>
      </c>
      <c r="J26">
        <v>0</v>
      </c>
      <c r="K26" t="s">
        <v>51</v>
      </c>
      <c r="L26" s="1">
        <v>46172</v>
      </c>
      <c r="M26" s="1">
        <v>46175</v>
      </c>
      <c r="N26" t="s">
        <v>52</v>
      </c>
      <c r="P26">
        <v>24</v>
      </c>
      <c r="Q26" t="s">
        <v>186</v>
      </c>
      <c r="R26" t="s">
        <v>54</v>
      </c>
      <c r="S26" t="s">
        <v>55</v>
      </c>
      <c r="T26" t="s">
        <v>56</v>
      </c>
      <c r="U26" t="s">
        <v>137</v>
      </c>
      <c r="V26" t="s">
        <v>138</v>
      </c>
      <c r="W26" t="s">
        <v>139</v>
      </c>
      <c r="X26">
        <v>1800000</v>
      </c>
      <c r="Y26">
        <v>2304000</v>
      </c>
      <c r="Z26" t="s">
        <v>56</v>
      </c>
      <c r="AA26" t="s">
        <v>129</v>
      </c>
      <c r="AB26" t="s">
        <v>74</v>
      </c>
      <c r="AC26" t="s">
        <v>75</v>
      </c>
      <c r="AD26" t="s">
        <v>76</v>
      </c>
      <c r="AE26">
        <v>23040000</v>
      </c>
      <c r="AF26">
        <v>18000000</v>
      </c>
      <c r="AG26">
        <v>5040000</v>
      </c>
      <c r="AH26" t="b">
        <v>1</v>
      </c>
      <c r="AI26" t="b">
        <v>1</v>
      </c>
      <c r="AJ26">
        <v>0</v>
      </c>
      <c r="AK26">
        <v>3</v>
      </c>
      <c r="AL26" t="b">
        <v>1</v>
      </c>
      <c r="AM26" t="b">
        <v>0</v>
      </c>
      <c r="AN26">
        <v>23040000</v>
      </c>
      <c r="AO26">
        <v>5040000</v>
      </c>
      <c r="AP26">
        <v>10</v>
      </c>
      <c r="AQ26">
        <v>13</v>
      </c>
      <c r="AR26">
        <v>0</v>
      </c>
      <c r="AS26">
        <v>1</v>
      </c>
      <c r="AT26">
        <v>0</v>
      </c>
      <c r="AU26">
        <v>5040000</v>
      </c>
    </row>
    <row r="27" spans="1:47" x14ac:dyDescent="0.3">
      <c r="A27" s="1">
        <v>46198</v>
      </c>
      <c r="B27" t="s">
        <v>187</v>
      </c>
      <c r="C27">
        <v>1</v>
      </c>
      <c r="D27" t="s">
        <v>188</v>
      </c>
      <c r="E27" t="s">
        <v>189</v>
      </c>
      <c r="F27" t="s">
        <v>66</v>
      </c>
      <c r="G27">
        <v>24</v>
      </c>
      <c r="H27">
        <v>24</v>
      </c>
      <c r="I27">
        <v>312000</v>
      </c>
      <c r="J27">
        <v>0</v>
      </c>
      <c r="K27" t="s">
        <v>51</v>
      </c>
      <c r="L27" s="1">
        <v>46203</v>
      </c>
      <c r="M27" s="1">
        <v>46210</v>
      </c>
      <c r="N27" t="s">
        <v>67</v>
      </c>
      <c r="P27">
        <v>25</v>
      </c>
      <c r="Q27" t="s">
        <v>190</v>
      </c>
      <c r="R27" t="s">
        <v>83</v>
      </c>
      <c r="S27" t="s">
        <v>123</v>
      </c>
      <c r="T27" t="s">
        <v>56</v>
      </c>
      <c r="U27" t="s">
        <v>191</v>
      </c>
      <c r="V27" t="s">
        <v>86</v>
      </c>
      <c r="W27" t="s">
        <v>87</v>
      </c>
      <c r="X27">
        <v>250000</v>
      </c>
      <c r="Y27">
        <v>312000</v>
      </c>
      <c r="Z27" t="s">
        <v>134</v>
      </c>
      <c r="AA27" t="s">
        <v>73</v>
      </c>
      <c r="AB27" t="s">
        <v>74</v>
      </c>
      <c r="AC27" t="s">
        <v>75</v>
      </c>
      <c r="AD27" t="s">
        <v>118</v>
      </c>
      <c r="AE27">
        <v>7488000</v>
      </c>
      <c r="AF27">
        <v>6000000</v>
      </c>
      <c r="AG27">
        <v>1488000</v>
      </c>
      <c r="AH27" t="b">
        <v>1</v>
      </c>
      <c r="AI27" t="b">
        <v>1</v>
      </c>
      <c r="AJ27">
        <v>0</v>
      </c>
      <c r="AK27">
        <v>7</v>
      </c>
      <c r="AL27" t="b">
        <v>1</v>
      </c>
      <c r="AM27" t="b">
        <v>0</v>
      </c>
      <c r="AN27">
        <v>7488000</v>
      </c>
      <c r="AO27">
        <v>1488000</v>
      </c>
      <c r="AP27">
        <v>24</v>
      </c>
      <c r="AQ27">
        <v>24</v>
      </c>
      <c r="AR27">
        <v>0</v>
      </c>
      <c r="AS27">
        <v>1</v>
      </c>
      <c r="AT27">
        <v>0</v>
      </c>
      <c r="AU27">
        <v>1488000</v>
      </c>
    </row>
    <row r="28" spans="1:47" x14ac:dyDescent="0.3">
      <c r="A28" s="1">
        <v>46050</v>
      </c>
      <c r="B28" t="s">
        <v>192</v>
      </c>
      <c r="C28">
        <v>3</v>
      </c>
      <c r="D28" t="s">
        <v>182</v>
      </c>
      <c r="E28" t="s">
        <v>49</v>
      </c>
      <c r="F28" t="s">
        <v>66</v>
      </c>
      <c r="G28">
        <v>12</v>
      </c>
      <c r="H28">
        <v>10</v>
      </c>
      <c r="I28">
        <v>1170000</v>
      </c>
      <c r="J28">
        <v>0.02</v>
      </c>
      <c r="K28" t="s">
        <v>98</v>
      </c>
      <c r="L28" s="1">
        <v>46057</v>
      </c>
      <c r="N28" t="s">
        <v>67</v>
      </c>
      <c r="P28">
        <v>26</v>
      </c>
      <c r="Q28" t="s">
        <v>183</v>
      </c>
      <c r="R28" t="s">
        <v>75</v>
      </c>
      <c r="S28" t="s">
        <v>69</v>
      </c>
      <c r="T28" t="s">
        <v>56</v>
      </c>
      <c r="U28" t="s">
        <v>57</v>
      </c>
      <c r="V28" t="s">
        <v>58</v>
      </c>
      <c r="W28" t="s">
        <v>59</v>
      </c>
      <c r="X28">
        <v>900000</v>
      </c>
      <c r="Y28">
        <v>1170000</v>
      </c>
      <c r="Z28" t="s">
        <v>56</v>
      </c>
      <c r="AA28" t="s">
        <v>60</v>
      </c>
      <c r="AB28" t="s">
        <v>74</v>
      </c>
      <c r="AC28" t="s">
        <v>75</v>
      </c>
      <c r="AD28" t="s">
        <v>94</v>
      </c>
      <c r="AE28">
        <v>11466000</v>
      </c>
      <c r="AF28">
        <v>9000000</v>
      </c>
      <c r="AG28">
        <v>2466000</v>
      </c>
      <c r="AH28" t="b">
        <v>1</v>
      </c>
      <c r="AI28" t="b">
        <v>0</v>
      </c>
      <c r="AL28" t="b">
        <v>1</v>
      </c>
      <c r="AM28" t="b">
        <v>0</v>
      </c>
      <c r="AN28">
        <v>11466000</v>
      </c>
      <c r="AO28">
        <v>2466000</v>
      </c>
      <c r="AP28">
        <v>10</v>
      </c>
      <c r="AQ28">
        <v>12</v>
      </c>
      <c r="AR28">
        <v>0</v>
      </c>
      <c r="AS28">
        <v>0</v>
      </c>
      <c r="AT28">
        <v>0</v>
      </c>
      <c r="AU28">
        <v>2466000</v>
      </c>
    </row>
    <row r="29" spans="1:47" x14ac:dyDescent="0.3">
      <c r="A29" s="1">
        <v>46142</v>
      </c>
      <c r="B29" t="s">
        <v>193</v>
      </c>
      <c r="C29">
        <v>3</v>
      </c>
      <c r="D29" t="s">
        <v>194</v>
      </c>
      <c r="E29" t="s">
        <v>152</v>
      </c>
      <c r="F29" t="s">
        <v>114</v>
      </c>
      <c r="G29">
        <v>18</v>
      </c>
      <c r="H29">
        <v>0</v>
      </c>
      <c r="I29">
        <v>845000</v>
      </c>
      <c r="J29">
        <v>0</v>
      </c>
      <c r="K29" t="s">
        <v>127</v>
      </c>
      <c r="L29" s="1">
        <v>46147</v>
      </c>
      <c r="N29" t="s">
        <v>67</v>
      </c>
      <c r="P29">
        <v>27</v>
      </c>
      <c r="Q29" t="s">
        <v>195</v>
      </c>
      <c r="R29" t="s">
        <v>54</v>
      </c>
      <c r="S29" t="s">
        <v>123</v>
      </c>
      <c r="T29" t="s">
        <v>56</v>
      </c>
      <c r="U29" t="s">
        <v>154</v>
      </c>
      <c r="V29" t="s">
        <v>58</v>
      </c>
      <c r="W29" t="s">
        <v>59</v>
      </c>
      <c r="X29">
        <v>650000</v>
      </c>
      <c r="Y29">
        <v>845000</v>
      </c>
      <c r="Z29" t="s">
        <v>56</v>
      </c>
      <c r="AA29" t="s">
        <v>73</v>
      </c>
      <c r="AB29" t="s">
        <v>117</v>
      </c>
      <c r="AC29" t="s">
        <v>83</v>
      </c>
      <c r="AD29" t="s">
        <v>130</v>
      </c>
      <c r="AE29">
        <v>0</v>
      </c>
      <c r="AG29">
        <v>0</v>
      </c>
      <c r="AH29" t="b">
        <v>1</v>
      </c>
      <c r="AI29" t="b">
        <v>0</v>
      </c>
      <c r="AL29" t="b">
        <v>0</v>
      </c>
      <c r="AM29" t="b">
        <v>0</v>
      </c>
      <c r="AN29">
        <v>0</v>
      </c>
      <c r="AO29">
        <v>0</v>
      </c>
      <c r="AP29">
        <v>0</v>
      </c>
      <c r="AQ29">
        <v>0</v>
      </c>
      <c r="AR29">
        <v>0</v>
      </c>
      <c r="AS29">
        <v>0</v>
      </c>
      <c r="AT29">
        <v>0</v>
      </c>
      <c r="AU29">
        <v>0</v>
      </c>
    </row>
    <row r="30" spans="1:47" x14ac:dyDescent="0.3">
      <c r="A30" s="1">
        <v>46109</v>
      </c>
      <c r="B30" t="s">
        <v>196</v>
      </c>
      <c r="C30">
        <v>4</v>
      </c>
      <c r="D30" t="s">
        <v>194</v>
      </c>
      <c r="E30" t="s">
        <v>197</v>
      </c>
      <c r="F30" t="s">
        <v>66</v>
      </c>
      <c r="G30">
        <v>14</v>
      </c>
      <c r="H30">
        <v>14</v>
      </c>
      <c r="I30">
        <v>1215000</v>
      </c>
      <c r="J30">
        <v>0.02</v>
      </c>
      <c r="K30" t="s">
        <v>51</v>
      </c>
      <c r="L30" s="1">
        <v>46116</v>
      </c>
      <c r="M30" s="1">
        <v>46119</v>
      </c>
      <c r="N30" t="s">
        <v>52</v>
      </c>
      <c r="P30">
        <v>28</v>
      </c>
      <c r="Q30" t="s">
        <v>195</v>
      </c>
      <c r="R30" t="s">
        <v>54</v>
      </c>
      <c r="S30" t="s">
        <v>123</v>
      </c>
      <c r="T30" t="s">
        <v>56</v>
      </c>
      <c r="U30" t="s">
        <v>198</v>
      </c>
      <c r="V30" t="s">
        <v>71</v>
      </c>
      <c r="W30" t="s">
        <v>72</v>
      </c>
      <c r="X30">
        <v>900000</v>
      </c>
      <c r="Y30">
        <v>1215000</v>
      </c>
      <c r="Z30" t="s">
        <v>56</v>
      </c>
      <c r="AA30" t="s">
        <v>129</v>
      </c>
      <c r="AB30" t="s">
        <v>74</v>
      </c>
      <c r="AC30" t="s">
        <v>75</v>
      </c>
      <c r="AD30" t="s">
        <v>62</v>
      </c>
      <c r="AE30">
        <v>16669800</v>
      </c>
      <c r="AF30">
        <v>12600000</v>
      </c>
      <c r="AG30">
        <v>4069800</v>
      </c>
      <c r="AH30" t="b">
        <v>1</v>
      </c>
      <c r="AI30" t="b">
        <v>1</v>
      </c>
      <c r="AJ30">
        <v>0</v>
      </c>
      <c r="AK30">
        <v>3</v>
      </c>
      <c r="AL30" t="b">
        <v>1</v>
      </c>
      <c r="AM30" t="b">
        <v>0</v>
      </c>
      <c r="AN30">
        <v>16669800</v>
      </c>
      <c r="AO30">
        <v>4069800</v>
      </c>
      <c r="AP30">
        <v>14</v>
      </c>
      <c r="AQ30">
        <v>14</v>
      </c>
      <c r="AR30">
        <v>0</v>
      </c>
      <c r="AS30">
        <v>1</v>
      </c>
      <c r="AT30">
        <v>0</v>
      </c>
      <c r="AU30">
        <v>4069800</v>
      </c>
    </row>
    <row r="31" spans="1:47" x14ac:dyDescent="0.3">
      <c r="A31" s="1">
        <v>46165</v>
      </c>
      <c r="B31" t="s">
        <v>199</v>
      </c>
      <c r="C31">
        <v>2</v>
      </c>
      <c r="D31" t="s">
        <v>200</v>
      </c>
      <c r="E31" t="s">
        <v>152</v>
      </c>
      <c r="F31" t="s">
        <v>66</v>
      </c>
      <c r="G31">
        <v>32</v>
      </c>
      <c r="H31">
        <v>31</v>
      </c>
      <c r="I31">
        <v>845000</v>
      </c>
      <c r="J31">
        <v>0.05</v>
      </c>
      <c r="K31" t="s">
        <v>51</v>
      </c>
      <c r="L31" s="1">
        <v>46175</v>
      </c>
      <c r="M31" s="1">
        <v>46178</v>
      </c>
      <c r="N31" t="s">
        <v>67</v>
      </c>
      <c r="P31">
        <v>29</v>
      </c>
      <c r="Q31" t="s">
        <v>201</v>
      </c>
      <c r="R31" t="s">
        <v>75</v>
      </c>
      <c r="S31" t="s">
        <v>55</v>
      </c>
      <c r="T31" t="s">
        <v>56</v>
      </c>
      <c r="U31" t="s">
        <v>154</v>
      </c>
      <c r="V31" t="s">
        <v>58</v>
      </c>
      <c r="W31" t="s">
        <v>59</v>
      </c>
      <c r="X31">
        <v>650000</v>
      </c>
      <c r="Y31">
        <v>845000</v>
      </c>
      <c r="Z31" t="s">
        <v>56</v>
      </c>
      <c r="AA31" t="s">
        <v>73</v>
      </c>
      <c r="AB31" t="s">
        <v>74</v>
      </c>
      <c r="AC31" t="s">
        <v>75</v>
      </c>
      <c r="AD31" t="s">
        <v>76</v>
      </c>
      <c r="AE31">
        <v>24885250</v>
      </c>
      <c r="AF31">
        <v>20150000</v>
      </c>
      <c r="AG31">
        <v>4735250</v>
      </c>
      <c r="AH31" t="b">
        <v>1</v>
      </c>
      <c r="AI31" t="b">
        <v>1</v>
      </c>
      <c r="AJ31">
        <v>0</v>
      </c>
      <c r="AK31">
        <v>3</v>
      </c>
      <c r="AL31" t="b">
        <v>1</v>
      </c>
      <c r="AM31" t="b">
        <v>0</v>
      </c>
      <c r="AN31">
        <v>24885250</v>
      </c>
      <c r="AO31">
        <v>4735250</v>
      </c>
      <c r="AP31">
        <v>31</v>
      </c>
      <c r="AQ31">
        <v>32</v>
      </c>
      <c r="AR31">
        <v>0</v>
      </c>
      <c r="AS31">
        <v>1</v>
      </c>
      <c r="AT31">
        <v>0</v>
      </c>
      <c r="AU31">
        <v>4735250</v>
      </c>
    </row>
    <row r="32" spans="1:47" x14ac:dyDescent="0.3">
      <c r="A32" s="1">
        <v>46137</v>
      </c>
      <c r="B32" t="s">
        <v>202</v>
      </c>
      <c r="C32">
        <v>1</v>
      </c>
      <c r="D32" t="s">
        <v>163</v>
      </c>
      <c r="E32" t="s">
        <v>203</v>
      </c>
      <c r="F32" t="s">
        <v>66</v>
      </c>
      <c r="G32">
        <v>16</v>
      </c>
      <c r="H32">
        <v>16</v>
      </c>
      <c r="I32">
        <v>2124000</v>
      </c>
      <c r="J32">
        <v>0.05</v>
      </c>
      <c r="K32" t="s">
        <v>51</v>
      </c>
      <c r="L32" s="1">
        <v>46144</v>
      </c>
      <c r="M32" s="1">
        <v>46146</v>
      </c>
      <c r="N32" t="s">
        <v>52</v>
      </c>
      <c r="P32">
        <v>30</v>
      </c>
      <c r="Q32" t="s">
        <v>164</v>
      </c>
      <c r="R32" t="s">
        <v>75</v>
      </c>
      <c r="S32" t="s">
        <v>69</v>
      </c>
      <c r="T32" t="s">
        <v>56</v>
      </c>
      <c r="U32" t="s">
        <v>204</v>
      </c>
      <c r="V32" t="s">
        <v>109</v>
      </c>
      <c r="W32" t="s">
        <v>110</v>
      </c>
      <c r="X32">
        <v>1800000</v>
      </c>
      <c r="Y32">
        <v>2124000</v>
      </c>
      <c r="Z32" t="s">
        <v>56</v>
      </c>
      <c r="AA32" t="s">
        <v>73</v>
      </c>
      <c r="AB32" t="s">
        <v>74</v>
      </c>
      <c r="AC32" t="s">
        <v>75</v>
      </c>
      <c r="AD32" t="s">
        <v>130</v>
      </c>
      <c r="AE32">
        <v>32284800</v>
      </c>
      <c r="AF32">
        <v>28800000</v>
      </c>
      <c r="AG32">
        <v>3484800</v>
      </c>
      <c r="AH32" t="b">
        <v>1</v>
      </c>
      <c r="AI32" t="b">
        <v>1</v>
      </c>
      <c r="AJ32">
        <v>0</v>
      </c>
      <c r="AK32">
        <v>2</v>
      </c>
      <c r="AL32" t="b">
        <v>1</v>
      </c>
      <c r="AM32" t="b">
        <v>0</v>
      </c>
      <c r="AN32">
        <v>32284800</v>
      </c>
      <c r="AO32">
        <v>3484800</v>
      </c>
      <c r="AP32">
        <v>16</v>
      </c>
      <c r="AQ32">
        <v>16</v>
      </c>
      <c r="AR32">
        <v>0</v>
      </c>
      <c r="AS32">
        <v>1</v>
      </c>
      <c r="AT32">
        <v>0</v>
      </c>
      <c r="AU32">
        <v>3484800</v>
      </c>
    </row>
    <row r="33" spans="1:47" x14ac:dyDescent="0.3">
      <c r="A33" s="1">
        <v>46131</v>
      </c>
      <c r="B33" t="s">
        <v>205</v>
      </c>
      <c r="C33">
        <v>3</v>
      </c>
      <c r="D33" t="s">
        <v>188</v>
      </c>
      <c r="E33" t="s">
        <v>206</v>
      </c>
      <c r="F33" t="s">
        <v>50</v>
      </c>
      <c r="G33">
        <v>20</v>
      </c>
      <c r="H33">
        <v>19</v>
      </c>
      <c r="I33">
        <v>648000</v>
      </c>
      <c r="J33">
        <v>0</v>
      </c>
      <c r="K33" t="s">
        <v>51</v>
      </c>
      <c r="L33" s="1">
        <v>46134</v>
      </c>
      <c r="M33" s="1">
        <v>46133</v>
      </c>
      <c r="N33" t="s">
        <v>81</v>
      </c>
      <c r="P33">
        <v>31</v>
      </c>
      <c r="Q33" t="s">
        <v>190</v>
      </c>
      <c r="R33" t="s">
        <v>83</v>
      </c>
      <c r="S33" t="s">
        <v>123</v>
      </c>
      <c r="T33" t="s">
        <v>56</v>
      </c>
      <c r="U33" t="s">
        <v>207</v>
      </c>
      <c r="V33" t="s">
        <v>71</v>
      </c>
      <c r="W33" t="s">
        <v>72</v>
      </c>
      <c r="X33">
        <v>480000</v>
      </c>
      <c r="Y33">
        <v>648000</v>
      </c>
      <c r="Z33" t="s">
        <v>56</v>
      </c>
      <c r="AA33" t="s">
        <v>73</v>
      </c>
      <c r="AB33" t="s">
        <v>61</v>
      </c>
      <c r="AC33" t="s">
        <v>54</v>
      </c>
      <c r="AD33" t="s">
        <v>130</v>
      </c>
      <c r="AE33">
        <v>12312000</v>
      </c>
      <c r="AF33">
        <v>9120000</v>
      </c>
      <c r="AG33">
        <v>3192000</v>
      </c>
      <c r="AH33" t="b">
        <v>1</v>
      </c>
      <c r="AI33" t="b">
        <v>1</v>
      </c>
      <c r="AJ33">
        <v>1</v>
      </c>
      <c r="AK33">
        <v>-1</v>
      </c>
      <c r="AL33" t="b">
        <v>1</v>
      </c>
      <c r="AM33" t="b">
        <v>0</v>
      </c>
      <c r="AN33">
        <v>12312000</v>
      </c>
      <c r="AO33">
        <v>3192000</v>
      </c>
      <c r="AP33">
        <v>19</v>
      </c>
      <c r="AQ33">
        <v>20</v>
      </c>
      <c r="AR33">
        <v>1</v>
      </c>
      <c r="AS33">
        <v>1</v>
      </c>
      <c r="AT33">
        <v>0</v>
      </c>
      <c r="AU33">
        <v>3192000</v>
      </c>
    </row>
    <row r="34" spans="1:47" x14ac:dyDescent="0.3">
      <c r="A34" s="1">
        <v>46072</v>
      </c>
      <c r="B34" t="s">
        <v>208</v>
      </c>
      <c r="C34">
        <v>4</v>
      </c>
      <c r="D34" t="s">
        <v>209</v>
      </c>
      <c r="E34" t="s">
        <v>210</v>
      </c>
      <c r="F34" t="s">
        <v>50</v>
      </c>
      <c r="G34">
        <v>7</v>
      </c>
      <c r="H34">
        <v>2</v>
      </c>
      <c r="I34">
        <v>234000</v>
      </c>
      <c r="J34">
        <v>0</v>
      </c>
      <c r="K34" t="s">
        <v>98</v>
      </c>
      <c r="L34" s="1">
        <v>46075</v>
      </c>
      <c r="N34" t="s">
        <v>81</v>
      </c>
      <c r="P34">
        <v>32</v>
      </c>
      <c r="Q34" t="s">
        <v>211</v>
      </c>
      <c r="R34" t="s">
        <v>54</v>
      </c>
      <c r="S34" t="s">
        <v>84</v>
      </c>
      <c r="T34" t="s">
        <v>56</v>
      </c>
      <c r="U34" t="s">
        <v>212</v>
      </c>
      <c r="V34" t="s">
        <v>58</v>
      </c>
      <c r="W34" t="s">
        <v>59</v>
      </c>
      <c r="X34">
        <v>180000</v>
      </c>
      <c r="Y34">
        <v>234000</v>
      </c>
      <c r="Z34" t="s">
        <v>56</v>
      </c>
      <c r="AA34" t="s">
        <v>60</v>
      </c>
      <c r="AB34" t="s">
        <v>61</v>
      </c>
      <c r="AC34" t="s">
        <v>54</v>
      </c>
      <c r="AD34" t="s">
        <v>158</v>
      </c>
      <c r="AE34">
        <v>468000</v>
      </c>
      <c r="AF34">
        <v>360000</v>
      </c>
      <c r="AG34">
        <v>108000</v>
      </c>
      <c r="AH34" t="b">
        <v>1</v>
      </c>
      <c r="AI34" t="b">
        <v>0</v>
      </c>
      <c r="AL34" t="b">
        <v>1</v>
      </c>
      <c r="AM34" t="b">
        <v>0</v>
      </c>
      <c r="AN34">
        <v>468000</v>
      </c>
      <c r="AO34">
        <v>108000</v>
      </c>
      <c r="AP34">
        <v>2</v>
      </c>
      <c r="AQ34">
        <v>7</v>
      </c>
      <c r="AR34">
        <v>0</v>
      </c>
      <c r="AS34">
        <v>0</v>
      </c>
      <c r="AT34">
        <v>0</v>
      </c>
      <c r="AU34">
        <v>108000</v>
      </c>
    </row>
    <row r="35" spans="1:47" x14ac:dyDescent="0.3">
      <c r="A35" s="1">
        <v>46100</v>
      </c>
      <c r="B35" t="s">
        <v>213</v>
      </c>
      <c r="C35">
        <v>2</v>
      </c>
      <c r="D35" t="s">
        <v>209</v>
      </c>
      <c r="E35" t="s">
        <v>105</v>
      </c>
      <c r="F35" t="s">
        <v>114</v>
      </c>
      <c r="G35">
        <v>19</v>
      </c>
      <c r="H35">
        <v>18</v>
      </c>
      <c r="I35">
        <v>212000</v>
      </c>
      <c r="J35">
        <v>0.05</v>
      </c>
      <c r="K35" t="s">
        <v>51</v>
      </c>
      <c r="L35" s="1">
        <v>46101</v>
      </c>
      <c r="M35" s="1">
        <v>46108</v>
      </c>
      <c r="N35" t="s">
        <v>106</v>
      </c>
      <c r="P35">
        <v>33</v>
      </c>
      <c r="Q35" t="s">
        <v>211</v>
      </c>
      <c r="R35" t="s">
        <v>54</v>
      </c>
      <c r="S35" t="s">
        <v>84</v>
      </c>
      <c r="T35" t="s">
        <v>56</v>
      </c>
      <c r="U35" t="s">
        <v>108</v>
      </c>
      <c r="V35" t="s">
        <v>109</v>
      </c>
      <c r="W35" t="s">
        <v>110</v>
      </c>
      <c r="X35">
        <v>180000</v>
      </c>
      <c r="Y35">
        <v>212000</v>
      </c>
      <c r="Z35" t="s">
        <v>56</v>
      </c>
      <c r="AA35" t="s">
        <v>73</v>
      </c>
      <c r="AB35" t="s">
        <v>117</v>
      </c>
      <c r="AC35" t="s">
        <v>83</v>
      </c>
      <c r="AD35" t="s">
        <v>62</v>
      </c>
      <c r="AE35">
        <v>3625200</v>
      </c>
      <c r="AF35">
        <v>3240000</v>
      </c>
      <c r="AG35">
        <v>385200</v>
      </c>
      <c r="AH35" t="b">
        <v>1</v>
      </c>
      <c r="AI35" t="b">
        <v>1</v>
      </c>
      <c r="AJ35">
        <v>0</v>
      </c>
      <c r="AK35">
        <v>7</v>
      </c>
      <c r="AL35" t="b">
        <v>1</v>
      </c>
      <c r="AM35" t="b">
        <v>0</v>
      </c>
      <c r="AN35">
        <v>3625200</v>
      </c>
      <c r="AO35">
        <v>385200</v>
      </c>
      <c r="AP35">
        <v>18</v>
      </c>
      <c r="AQ35">
        <v>19</v>
      </c>
      <c r="AR35">
        <v>0</v>
      </c>
      <c r="AS35">
        <v>1</v>
      </c>
      <c r="AT35">
        <v>0</v>
      </c>
      <c r="AU35">
        <v>385200</v>
      </c>
    </row>
    <row r="36" spans="1:47" x14ac:dyDescent="0.3">
      <c r="A36" s="1">
        <v>46169</v>
      </c>
      <c r="B36" t="s">
        <v>214</v>
      </c>
      <c r="C36">
        <v>4</v>
      </c>
      <c r="D36" t="s">
        <v>215</v>
      </c>
      <c r="E36" t="s">
        <v>160</v>
      </c>
      <c r="F36" t="s">
        <v>50</v>
      </c>
      <c r="G36">
        <v>-5</v>
      </c>
      <c r="H36">
        <v>-5</v>
      </c>
      <c r="I36">
        <v>1125000</v>
      </c>
      <c r="J36">
        <v>0.05</v>
      </c>
      <c r="K36" t="s">
        <v>216</v>
      </c>
      <c r="L36" s="1">
        <v>46170</v>
      </c>
      <c r="M36" s="1">
        <v>46177</v>
      </c>
      <c r="N36" t="s">
        <v>106</v>
      </c>
      <c r="P36">
        <v>34</v>
      </c>
      <c r="Q36" t="s">
        <v>217</v>
      </c>
      <c r="R36" t="s">
        <v>54</v>
      </c>
      <c r="S36" t="s">
        <v>69</v>
      </c>
      <c r="T36" t="s">
        <v>218</v>
      </c>
      <c r="U36" t="s">
        <v>161</v>
      </c>
      <c r="V36" t="s">
        <v>86</v>
      </c>
      <c r="W36" t="s">
        <v>87</v>
      </c>
      <c r="X36">
        <v>900000</v>
      </c>
      <c r="Y36">
        <v>1125000</v>
      </c>
      <c r="Z36" t="s">
        <v>56</v>
      </c>
      <c r="AA36" t="s">
        <v>60</v>
      </c>
      <c r="AB36" t="s">
        <v>61</v>
      </c>
      <c r="AC36" t="s">
        <v>54</v>
      </c>
      <c r="AD36" t="s">
        <v>76</v>
      </c>
      <c r="AE36">
        <v>-5343750</v>
      </c>
      <c r="AF36">
        <v>-4500000</v>
      </c>
      <c r="AG36">
        <v>-843750</v>
      </c>
      <c r="AH36" t="b">
        <v>1</v>
      </c>
      <c r="AI36" t="b">
        <v>1</v>
      </c>
      <c r="AJ36">
        <v>0</v>
      </c>
      <c r="AK36">
        <v>7</v>
      </c>
      <c r="AL36" t="b">
        <v>0</v>
      </c>
      <c r="AM36" t="b">
        <v>1</v>
      </c>
      <c r="AN36">
        <v>-5343750</v>
      </c>
      <c r="AO36">
        <v>-843750</v>
      </c>
      <c r="AP36">
        <v>0</v>
      </c>
      <c r="AQ36">
        <v>0</v>
      </c>
      <c r="AR36">
        <v>0</v>
      </c>
      <c r="AS36">
        <v>1</v>
      </c>
      <c r="AT36">
        <v>-5343750</v>
      </c>
      <c r="AU36">
        <v>-843750</v>
      </c>
    </row>
    <row r="37" spans="1:47" x14ac:dyDescent="0.3">
      <c r="A37" s="1">
        <v>46125</v>
      </c>
      <c r="B37" t="s">
        <v>219</v>
      </c>
      <c r="C37">
        <v>1</v>
      </c>
      <c r="D37" t="s">
        <v>185</v>
      </c>
      <c r="E37" t="s">
        <v>220</v>
      </c>
      <c r="F37" t="s">
        <v>80</v>
      </c>
      <c r="G37">
        <v>10</v>
      </c>
      <c r="H37">
        <v>4</v>
      </c>
      <c r="I37">
        <v>234000</v>
      </c>
      <c r="J37">
        <v>0</v>
      </c>
      <c r="K37" t="s">
        <v>98</v>
      </c>
      <c r="L37" s="1">
        <v>46127</v>
      </c>
      <c r="N37" t="s">
        <v>106</v>
      </c>
      <c r="P37">
        <v>35</v>
      </c>
      <c r="Q37" t="s">
        <v>186</v>
      </c>
      <c r="R37" t="s">
        <v>54</v>
      </c>
      <c r="S37" t="s">
        <v>55</v>
      </c>
      <c r="T37" t="s">
        <v>56</v>
      </c>
      <c r="U37" t="s">
        <v>221</v>
      </c>
      <c r="V37" t="s">
        <v>58</v>
      </c>
      <c r="W37" t="s">
        <v>59</v>
      </c>
      <c r="X37">
        <v>180000</v>
      </c>
      <c r="Y37">
        <v>234000</v>
      </c>
      <c r="Z37" t="s">
        <v>56</v>
      </c>
      <c r="AA37" t="s">
        <v>60</v>
      </c>
      <c r="AB37" t="s">
        <v>88</v>
      </c>
      <c r="AC37" t="s">
        <v>83</v>
      </c>
      <c r="AD37" t="s">
        <v>130</v>
      </c>
      <c r="AE37">
        <v>936000</v>
      </c>
      <c r="AF37">
        <v>720000</v>
      </c>
      <c r="AG37">
        <v>216000</v>
      </c>
      <c r="AH37" t="b">
        <v>1</v>
      </c>
      <c r="AI37" t="b">
        <v>0</v>
      </c>
      <c r="AL37" t="b">
        <v>1</v>
      </c>
      <c r="AM37" t="b">
        <v>0</v>
      </c>
      <c r="AN37">
        <v>936000</v>
      </c>
      <c r="AO37">
        <v>216000</v>
      </c>
      <c r="AP37">
        <v>4</v>
      </c>
      <c r="AQ37">
        <v>10</v>
      </c>
      <c r="AR37">
        <v>0</v>
      </c>
      <c r="AS37">
        <v>0</v>
      </c>
      <c r="AT37">
        <v>0</v>
      </c>
      <c r="AU37">
        <v>216000</v>
      </c>
    </row>
    <row r="38" spans="1:47" x14ac:dyDescent="0.3">
      <c r="A38" s="1">
        <v>46165</v>
      </c>
      <c r="B38" t="s">
        <v>222</v>
      </c>
      <c r="C38">
        <v>2</v>
      </c>
      <c r="D38" t="s">
        <v>223</v>
      </c>
      <c r="E38" t="s">
        <v>136</v>
      </c>
      <c r="F38" t="s">
        <v>66</v>
      </c>
      <c r="G38">
        <v>29</v>
      </c>
      <c r="H38">
        <v>29</v>
      </c>
      <c r="I38">
        <v>2304000</v>
      </c>
      <c r="J38">
        <v>0.02</v>
      </c>
      <c r="K38" t="s">
        <v>51</v>
      </c>
      <c r="L38" s="1">
        <v>46172</v>
      </c>
      <c r="M38" s="1">
        <v>46174</v>
      </c>
      <c r="N38" t="s">
        <v>106</v>
      </c>
      <c r="P38">
        <v>36</v>
      </c>
      <c r="Q38" t="s">
        <v>224</v>
      </c>
      <c r="R38" t="s">
        <v>83</v>
      </c>
      <c r="S38" t="s">
        <v>55</v>
      </c>
      <c r="T38" t="s">
        <v>56</v>
      </c>
      <c r="U38" t="s">
        <v>137</v>
      </c>
      <c r="V38" t="s">
        <v>138</v>
      </c>
      <c r="W38" t="s">
        <v>139</v>
      </c>
      <c r="X38">
        <v>1800000</v>
      </c>
      <c r="Y38">
        <v>2304000</v>
      </c>
      <c r="Z38" t="s">
        <v>56</v>
      </c>
      <c r="AA38" t="s">
        <v>129</v>
      </c>
      <c r="AB38" t="s">
        <v>74</v>
      </c>
      <c r="AC38" t="s">
        <v>75</v>
      </c>
      <c r="AD38" t="s">
        <v>76</v>
      </c>
      <c r="AE38">
        <v>65479680</v>
      </c>
      <c r="AF38">
        <v>52200000</v>
      </c>
      <c r="AG38">
        <v>13279680</v>
      </c>
      <c r="AH38" t="b">
        <v>1</v>
      </c>
      <c r="AI38" t="b">
        <v>1</v>
      </c>
      <c r="AJ38">
        <v>0</v>
      </c>
      <c r="AK38">
        <v>2</v>
      </c>
      <c r="AL38" t="b">
        <v>1</v>
      </c>
      <c r="AM38" t="b">
        <v>0</v>
      </c>
      <c r="AN38">
        <v>65479680</v>
      </c>
      <c r="AO38">
        <v>13279680</v>
      </c>
      <c r="AP38">
        <v>29</v>
      </c>
      <c r="AQ38">
        <v>29</v>
      </c>
      <c r="AR38">
        <v>0</v>
      </c>
      <c r="AS38">
        <v>1</v>
      </c>
      <c r="AT38">
        <v>0</v>
      </c>
      <c r="AU38">
        <v>13279680</v>
      </c>
    </row>
    <row r="39" spans="1:47" x14ac:dyDescent="0.3">
      <c r="A39" s="1">
        <v>46179</v>
      </c>
      <c r="B39" t="s">
        <v>225</v>
      </c>
      <c r="C39">
        <v>2</v>
      </c>
      <c r="D39" t="s">
        <v>141</v>
      </c>
      <c r="E39" t="s">
        <v>121</v>
      </c>
      <c r="F39" t="s">
        <v>114</v>
      </c>
      <c r="G39">
        <v>11</v>
      </c>
      <c r="H39">
        <v>11</v>
      </c>
      <c r="I39">
        <v>225000</v>
      </c>
      <c r="J39">
        <v>0</v>
      </c>
      <c r="K39" t="s">
        <v>51</v>
      </c>
      <c r="L39" s="1">
        <v>46180</v>
      </c>
      <c r="M39" s="1">
        <v>46181</v>
      </c>
      <c r="N39" t="s">
        <v>67</v>
      </c>
      <c r="P39">
        <v>37</v>
      </c>
      <c r="Q39" t="s">
        <v>143</v>
      </c>
      <c r="R39" t="s">
        <v>75</v>
      </c>
      <c r="S39" t="s">
        <v>55</v>
      </c>
      <c r="T39" t="s">
        <v>56</v>
      </c>
      <c r="U39" t="s">
        <v>124</v>
      </c>
      <c r="V39" t="s">
        <v>86</v>
      </c>
      <c r="W39" t="s">
        <v>87</v>
      </c>
      <c r="X39">
        <v>180000</v>
      </c>
      <c r="Y39">
        <v>225000</v>
      </c>
      <c r="Z39" t="s">
        <v>56</v>
      </c>
      <c r="AA39" t="s">
        <v>60</v>
      </c>
      <c r="AB39" t="s">
        <v>117</v>
      </c>
      <c r="AC39" t="s">
        <v>83</v>
      </c>
      <c r="AD39" t="s">
        <v>118</v>
      </c>
      <c r="AE39">
        <v>2475000</v>
      </c>
      <c r="AF39">
        <v>1980000</v>
      </c>
      <c r="AG39">
        <v>495000</v>
      </c>
      <c r="AH39" t="b">
        <v>1</v>
      </c>
      <c r="AI39" t="b">
        <v>1</v>
      </c>
      <c r="AJ39">
        <v>0</v>
      </c>
      <c r="AK39">
        <v>1</v>
      </c>
      <c r="AL39" t="b">
        <v>1</v>
      </c>
      <c r="AM39" t="b">
        <v>0</v>
      </c>
      <c r="AN39">
        <v>2475000</v>
      </c>
      <c r="AO39">
        <v>495000</v>
      </c>
      <c r="AP39">
        <v>11</v>
      </c>
      <c r="AQ39">
        <v>11</v>
      </c>
      <c r="AR39">
        <v>0</v>
      </c>
      <c r="AS39">
        <v>1</v>
      </c>
      <c r="AT39">
        <v>0</v>
      </c>
      <c r="AU39">
        <v>495000</v>
      </c>
    </row>
    <row r="40" spans="1:47" x14ac:dyDescent="0.3">
      <c r="A40" s="1">
        <v>46199</v>
      </c>
      <c r="B40" t="s">
        <v>226</v>
      </c>
      <c r="C40">
        <v>3</v>
      </c>
      <c r="D40" t="s">
        <v>90</v>
      </c>
      <c r="E40" t="s">
        <v>203</v>
      </c>
      <c r="F40" t="s">
        <v>50</v>
      </c>
      <c r="G40">
        <v>19</v>
      </c>
      <c r="H40">
        <v>14</v>
      </c>
      <c r="I40">
        <v>2124000</v>
      </c>
      <c r="J40">
        <v>0</v>
      </c>
      <c r="K40" t="s">
        <v>98</v>
      </c>
      <c r="L40" s="1">
        <v>46209</v>
      </c>
      <c r="N40" t="s">
        <v>81</v>
      </c>
      <c r="P40">
        <v>38</v>
      </c>
      <c r="Q40" t="s">
        <v>92</v>
      </c>
      <c r="R40" t="s">
        <v>75</v>
      </c>
      <c r="S40" t="s">
        <v>84</v>
      </c>
      <c r="T40" t="s">
        <v>56</v>
      </c>
      <c r="U40" t="s">
        <v>204</v>
      </c>
      <c r="V40" t="s">
        <v>109</v>
      </c>
      <c r="W40" t="s">
        <v>110</v>
      </c>
      <c r="X40">
        <v>1800000</v>
      </c>
      <c r="Y40">
        <v>2124000</v>
      </c>
      <c r="Z40" t="s">
        <v>56</v>
      </c>
      <c r="AA40" t="s">
        <v>73</v>
      </c>
      <c r="AB40" t="s">
        <v>61</v>
      </c>
      <c r="AC40" t="s">
        <v>54</v>
      </c>
      <c r="AD40" t="s">
        <v>118</v>
      </c>
      <c r="AE40">
        <v>29736000</v>
      </c>
      <c r="AF40">
        <v>25200000</v>
      </c>
      <c r="AG40">
        <v>4536000</v>
      </c>
      <c r="AH40" t="b">
        <v>1</v>
      </c>
      <c r="AI40" t="b">
        <v>0</v>
      </c>
      <c r="AL40" t="b">
        <v>1</v>
      </c>
      <c r="AM40" t="b">
        <v>0</v>
      </c>
      <c r="AN40">
        <v>29736000</v>
      </c>
      <c r="AO40">
        <v>4536000</v>
      </c>
      <c r="AP40">
        <v>14</v>
      </c>
      <c r="AQ40">
        <v>19</v>
      </c>
      <c r="AR40">
        <v>0</v>
      </c>
      <c r="AS40">
        <v>0</v>
      </c>
      <c r="AT40">
        <v>0</v>
      </c>
      <c r="AU40">
        <v>4536000</v>
      </c>
    </row>
    <row r="41" spans="1:47" x14ac:dyDescent="0.3">
      <c r="A41" s="1">
        <v>46090</v>
      </c>
      <c r="B41" t="s">
        <v>227</v>
      </c>
      <c r="C41">
        <v>4</v>
      </c>
      <c r="D41" t="s">
        <v>78</v>
      </c>
      <c r="E41" t="s">
        <v>189</v>
      </c>
      <c r="F41" t="s">
        <v>80</v>
      </c>
      <c r="G41">
        <v>10</v>
      </c>
      <c r="H41">
        <v>0</v>
      </c>
      <c r="I41">
        <v>312000</v>
      </c>
      <c r="J41">
        <v>0</v>
      </c>
      <c r="K41" t="s">
        <v>127</v>
      </c>
      <c r="L41" s="1">
        <v>46091</v>
      </c>
      <c r="N41" t="s">
        <v>106</v>
      </c>
      <c r="P41">
        <v>39</v>
      </c>
      <c r="Q41" t="s">
        <v>82</v>
      </c>
      <c r="R41" t="s">
        <v>83</v>
      </c>
      <c r="S41" t="s">
        <v>84</v>
      </c>
      <c r="T41" t="s">
        <v>56</v>
      </c>
      <c r="U41" t="s">
        <v>191</v>
      </c>
      <c r="V41" t="s">
        <v>86</v>
      </c>
      <c r="W41" t="s">
        <v>87</v>
      </c>
      <c r="X41">
        <v>250000</v>
      </c>
      <c r="Y41">
        <v>312000</v>
      </c>
      <c r="Z41" t="s">
        <v>134</v>
      </c>
      <c r="AA41" t="s">
        <v>73</v>
      </c>
      <c r="AB41" t="s">
        <v>88</v>
      </c>
      <c r="AC41" t="s">
        <v>83</v>
      </c>
      <c r="AD41" t="s">
        <v>62</v>
      </c>
      <c r="AE41">
        <v>0</v>
      </c>
      <c r="AG41">
        <v>0</v>
      </c>
      <c r="AH41" t="b">
        <v>1</v>
      </c>
      <c r="AI41" t="b">
        <v>0</v>
      </c>
      <c r="AL41" t="b">
        <v>0</v>
      </c>
      <c r="AM41" t="b">
        <v>0</v>
      </c>
      <c r="AN41">
        <v>0</v>
      </c>
      <c r="AO41">
        <v>0</v>
      </c>
      <c r="AP41">
        <v>0</v>
      </c>
      <c r="AQ41">
        <v>0</v>
      </c>
      <c r="AR41">
        <v>0</v>
      </c>
      <c r="AS41">
        <v>0</v>
      </c>
      <c r="AT41">
        <v>0</v>
      </c>
      <c r="AU41">
        <v>0</v>
      </c>
    </row>
    <row r="42" spans="1:47" x14ac:dyDescent="0.3">
      <c r="A42" s="1">
        <v>46065</v>
      </c>
      <c r="B42" t="s">
        <v>228</v>
      </c>
      <c r="C42">
        <v>3</v>
      </c>
      <c r="D42" t="s">
        <v>229</v>
      </c>
      <c r="E42" t="s">
        <v>230</v>
      </c>
      <c r="F42" t="s">
        <v>66</v>
      </c>
      <c r="G42">
        <v>20</v>
      </c>
      <c r="H42">
        <v>18</v>
      </c>
      <c r="I42">
        <v>2196000</v>
      </c>
      <c r="J42">
        <v>0.08</v>
      </c>
      <c r="K42" t="s">
        <v>51</v>
      </c>
      <c r="L42" s="1">
        <v>46070</v>
      </c>
      <c r="M42" s="1">
        <v>46071</v>
      </c>
      <c r="N42" t="s">
        <v>106</v>
      </c>
      <c r="P42">
        <v>40</v>
      </c>
      <c r="Q42" t="s">
        <v>231</v>
      </c>
      <c r="R42" t="s">
        <v>83</v>
      </c>
      <c r="S42" t="s">
        <v>123</v>
      </c>
      <c r="T42" t="s">
        <v>56</v>
      </c>
      <c r="U42" t="s">
        <v>232</v>
      </c>
      <c r="V42" t="s">
        <v>101</v>
      </c>
      <c r="W42" t="s">
        <v>102</v>
      </c>
      <c r="X42">
        <v>1800000</v>
      </c>
      <c r="Y42">
        <v>2196000</v>
      </c>
      <c r="Z42" t="s">
        <v>56</v>
      </c>
      <c r="AA42" t="s">
        <v>129</v>
      </c>
      <c r="AB42" t="s">
        <v>74</v>
      </c>
      <c r="AC42" t="s">
        <v>75</v>
      </c>
      <c r="AD42" t="s">
        <v>158</v>
      </c>
      <c r="AE42">
        <v>36365760</v>
      </c>
      <c r="AF42">
        <v>32400000</v>
      </c>
      <c r="AG42">
        <v>3965760</v>
      </c>
      <c r="AH42" t="b">
        <v>1</v>
      </c>
      <c r="AI42" t="b">
        <v>1</v>
      </c>
      <c r="AJ42">
        <v>0</v>
      </c>
      <c r="AK42">
        <v>1</v>
      </c>
      <c r="AL42" t="b">
        <v>1</v>
      </c>
      <c r="AM42" t="b">
        <v>0</v>
      </c>
      <c r="AN42">
        <v>36365760</v>
      </c>
      <c r="AO42">
        <v>3965760</v>
      </c>
      <c r="AP42">
        <v>18</v>
      </c>
      <c r="AQ42">
        <v>20</v>
      </c>
      <c r="AR42">
        <v>0</v>
      </c>
      <c r="AS42">
        <v>1</v>
      </c>
      <c r="AT42">
        <v>0</v>
      </c>
      <c r="AU42">
        <v>3965760</v>
      </c>
    </row>
    <row r="43" spans="1:47" x14ac:dyDescent="0.3">
      <c r="A43" s="1">
        <v>46176</v>
      </c>
      <c r="B43" t="s">
        <v>233</v>
      </c>
      <c r="C43">
        <v>4</v>
      </c>
      <c r="D43" t="s">
        <v>194</v>
      </c>
      <c r="E43" t="s">
        <v>121</v>
      </c>
      <c r="F43" t="s">
        <v>114</v>
      </c>
      <c r="G43">
        <v>6</v>
      </c>
      <c r="H43">
        <v>3</v>
      </c>
      <c r="I43">
        <v>225000</v>
      </c>
      <c r="J43">
        <v>0.08</v>
      </c>
      <c r="K43" t="s">
        <v>51</v>
      </c>
      <c r="L43" s="1">
        <v>46177</v>
      </c>
      <c r="M43" s="1">
        <v>46184</v>
      </c>
      <c r="N43" t="s">
        <v>52</v>
      </c>
      <c r="P43">
        <v>41</v>
      </c>
      <c r="Q43" t="s">
        <v>195</v>
      </c>
      <c r="R43" t="s">
        <v>54</v>
      </c>
      <c r="S43" t="s">
        <v>123</v>
      </c>
      <c r="T43" t="s">
        <v>56</v>
      </c>
      <c r="U43" t="s">
        <v>124</v>
      </c>
      <c r="V43" t="s">
        <v>86</v>
      </c>
      <c r="W43" t="s">
        <v>87</v>
      </c>
      <c r="X43">
        <v>180000</v>
      </c>
      <c r="Y43">
        <v>225000</v>
      </c>
      <c r="Z43" t="s">
        <v>56</v>
      </c>
      <c r="AA43" t="s">
        <v>60</v>
      </c>
      <c r="AB43" t="s">
        <v>117</v>
      </c>
      <c r="AC43" t="s">
        <v>83</v>
      </c>
      <c r="AD43" t="s">
        <v>118</v>
      </c>
      <c r="AE43">
        <v>621000</v>
      </c>
      <c r="AF43">
        <v>540000</v>
      </c>
      <c r="AG43">
        <v>81000</v>
      </c>
      <c r="AH43" t="b">
        <v>1</v>
      </c>
      <c r="AI43" t="b">
        <v>1</v>
      </c>
      <c r="AJ43">
        <v>0</v>
      </c>
      <c r="AK43">
        <v>7</v>
      </c>
      <c r="AL43" t="b">
        <v>1</v>
      </c>
      <c r="AM43" t="b">
        <v>0</v>
      </c>
      <c r="AN43">
        <v>621000</v>
      </c>
      <c r="AO43">
        <v>81000</v>
      </c>
      <c r="AP43">
        <v>3</v>
      </c>
      <c r="AQ43">
        <v>6</v>
      </c>
      <c r="AR43">
        <v>0</v>
      </c>
      <c r="AS43">
        <v>1</v>
      </c>
      <c r="AT43">
        <v>0</v>
      </c>
      <c r="AU43">
        <v>81000</v>
      </c>
    </row>
    <row r="44" spans="1:47" x14ac:dyDescent="0.3">
      <c r="A44" s="1">
        <v>46170</v>
      </c>
      <c r="B44" t="s">
        <v>234</v>
      </c>
      <c r="C44">
        <v>2</v>
      </c>
      <c r="D44" t="s">
        <v>215</v>
      </c>
      <c r="E44" t="s">
        <v>210</v>
      </c>
      <c r="F44" t="s">
        <v>66</v>
      </c>
      <c r="G44">
        <v>18</v>
      </c>
      <c r="H44">
        <v>18</v>
      </c>
      <c r="I44">
        <v>234000</v>
      </c>
      <c r="J44">
        <v>0.1</v>
      </c>
      <c r="K44" t="s">
        <v>51</v>
      </c>
      <c r="L44" s="1">
        <v>46175</v>
      </c>
      <c r="M44" s="1">
        <v>46174</v>
      </c>
      <c r="N44" t="s">
        <v>67</v>
      </c>
      <c r="P44">
        <v>42</v>
      </c>
      <c r="Q44" t="s">
        <v>217</v>
      </c>
      <c r="R44" t="s">
        <v>54</v>
      </c>
      <c r="S44" t="s">
        <v>69</v>
      </c>
      <c r="T44" t="s">
        <v>218</v>
      </c>
      <c r="U44" t="s">
        <v>212</v>
      </c>
      <c r="V44" t="s">
        <v>58</v>
      </c>
      <c r="W44" t="s">
        <v>59</v>
      </c>
      <c r="X44">
        <v>180000</v>
      </c>
      <c r="Y44">
        <v>234000</v>
      </c>
      <c r="Z44" t="s">
        <v>56</v>
      </c>
      <c r="AA44" t="s">
        <v>60</v>
      </c>
      <c r="AB44" t="s">
        <v>74</v>
      </c>
      <c r="AC44" t="s">
        <v>75</v>
      </c>
      <c r="AD44" t="s">
        <v>76</v>
      </c>
      <c r="AE44">
        <v>3790800</v>
      </c>
      <c r="AF44">
        <v>3240000</v>
      </c>
      <c r="AG44">
        <v>550800</v>
      </c>
      <c r="AH44" t="b">
        <v>1</v>
      </c>
      <c r="AI44" t="b">
        <v>1</v>
      </c>
      <c r="AJ44">
        <v>1</v>
      </c>
      <c r="AK44">
        <v>-1</v>
      </c>
      <c r="AL44" t="b">
        <v>1</v>
      </c>
      <c r="AM44" t="b">
        <v>0</v>
      </c>
      <c r="AN44">
        <v>3790800</v>
      </c>
      <c r="AO44">
        <v>550800</v>
      </c>
      <c r="AP44">
        <v>18</v>
      </c>
      <c r="AQ44">
        <v>18</v>
      </c>
      <c r="AR44">
        <v>1</v>
      </c>
      <c r="AS44">
        <v>1</v>
      </c>
      <c r="AT44">
        <v>0</v>
      </c>
      <c r="AU44">
        <v>550800</v>
      </c>
    </row>
    <row r="45" spans="1:47" x14ac:dyDescent="0.3">
      <c r="A45" s="1">
        <v>46112</v>
      </c>
      <c r="B45" t="s">
        <v>235</v>
      </c>
      <c r="C45">
        <v>3</v>
      </c>
      <c r="D45" t="s">
        <v>194</v>
      </c>
      <c r="E45" t="s">
        <v>236</v>
      </c>
      <c r="F45" t="s">
        <v>80</v>
      </c>
      <c r="G45">
        <v>22</v>
      </c>
      <c r="H45">
        <v>22</v>
      </c>
      <c r="I45">
        <v>448000</v>
      </c>
      <c r="J45">
        <v>0.1</v>
      </c>
      <c r="K45" t="s">
        <v>51</v>
      </c>
      <c r="L45" s="1">
        <v>46117</v>
      </c>
      <c r="M45" s="1">
        <v>46124</v>
      </c>
      <c r="N45" t="s">
        <v>106</v>
      </c>
      <c r="P45">
        <v>43</v>
      </c>
      <c r="Q45" t="s">
        <v>195</v>
      </c>
      <c r="R45" t="s">
        <v>54</v>
      </c>
      <c r="S45" t="s">
        <v>123</v>
      </c>
      <c r="T45" t="s">
        <v>56</v>
      </c>
      <c r="U45" t="s">
        <v>237</v>
      </c>
      <c r="V45" t="s">
        <v>138</v>
      </c>
      <c r="W45" t="s">
        <v>139</v>
      </c>
      <c r="X45">
        <v>350000</v>
      </c>
      <c r="Y45">
        <v>448000</v>
      </c>
      <c r="Z45" t="s">
        <v>134</v>
      </c>
      <c r="AA45" t="s">
        <v>73</v>
      </c>
      <c r="AB45" t="s">
        <v>88</v>
      </c>
      <c r="AC45" t="s">
        <v>83</v>
      </c>
      <c r="AD45" t="s">
        <v>62</v>
      </c>
      <c r="AE45">
        <v>8870400</v>
      </c>
      <c r="AF45">
        <v>7700000</v>
      </c>
      <c r="AG45">
        <v>1170400</v>
      </c>
      <c r="AH45" t="b">
        <v>1</v>
      </c>
      <c r="AI45" t="b">
        <v>1</v>
      </c>
      <c r="AJ45">
        <v>0</v>
      </c>
      <c r="AK45">
        <v>7</v>
      </c>
      <c r="AL45" t="b">
        <v>1</v>
      </c>
      <c r="AM45" t="b">
        <v>0</v>
      </c>
      <c r="AN45">
        <v>8870400</v>
      </c>
      <c r="AO45">
        <v>1170400</v>
      </c>
      <c r="AP45">
        <v>22</v>
      </c>
      <c r="AQ45">
        <v>22</v>
      </c>
      <c r="AR45">
        <v>0</v>
      </c>
      <c r="AS45">
        <v>1</v>
      </c>
      <c r="AT45">
        <v>0</v>
      </c>
      <c r="AU45">
        <v>1170400</v>
      </c>
    </row>
    <row r="46" spans="1:47" x14ac:dyDescent="0.3">
      <c r="A46" s="1">
        <v>46139</v>
      </c>
      <c r="B46" t="s">
        <v>238</v>
      </c>
      <c r="C46">
        <v>3</v>
      </c>
      <c r="D46" t="s">
        <v>239</v>
      </c>
      <c r="E46" t="s">
        <v>132</v>
      </c>
      <c r="F46" t="s">
        <v>114</v>
      </c>
      <c r="G46">
        <v>26</v>
      </c>
      <c r="H46">
        <v>0</v>
      </c>
      <c r="I46">
        <v>413000</v>
      </c>
      <c r="J46">
        <v>0</v>
      </c>
      <c r="K46" t="s">
        <v>127</v>
      </c>
      <c r="L46" s="1">
        <v>46149</v>
      </c>
      <c r="N46" t="s">
        <v>67</v>
      </c>
      <c r="P46">
        <v>44</v>
      </c>
      <c r="Q46" t="s">
        <v>240</v>
      </c>
      <c r="R46" t="s">
        <v>75</v>
      </c>
      <c r="S46" t="s">
        <v>55</v>
      </c>
      <c r="T46" t="s">
        <v>56</v>
      </c>
      <c r="U46" t="s">
        <v>133</v>
      </c>
      <c r="V46" t="s">
        <v>109</v>
      </c>
      <c r="W46" t="s">
        <v>110</v>
      </c>
      <c r="X46">
        <v>350000</v>
      </c>
      <c r="Y46">
        <v>413000</v>
      </c>
      <c r="Z46" t="s">
        <v>134</v>
      </c>
      <c r="AA46" t="s">
        <v>73</v>
      </c>
      <c r="AB46" t="s">
        <v>117</v>
      </c>
      <c r="AC46" t="s">
        <v>83</v>
      </c>
      <c r="AD46" t="s">
        <v>130</v>
      </c>
      <c r="AE46">
        <v>0</v>
      </c>
      <c r="AG46">
        <v>0</v>
      </c>
      <c r="AH46" t="b">
        <v>1</v>
      </c>
      <c r="AI46" t="b">
        <v>0</v>
      </c>
      <c r="AL46" t="b">
        <v>0</v>
      </c>
      <c r="AM46" t="b">
        <v>0</v>
      </c>
      <c r="AN46">
        <v>0</v>
      </c>
      <c r="AO46">
        <v>0</v>
      </c>
      <c r="AP46">
        <v>0</v>
      </c>
      <c r="AQ46">
        <v>0</v>
      </c>
      <c r="AR46">
        <v>0</v>
      </c>
      <c r="AS46">
        <v>0</v>
      </c>
      <c r="AT46">
        <v>0</v>
      </c>
      <c r="AU46">
        <v>0</v>
      </c>
    </row>
    <row r="47" spans="1:47" x14ac:dyDescent="0.3">
      <c r="A47" s="1">
        <v>46128</v>
      </c>
      <c r="B47" t="s">
        <v>241</v>
      </c>
      <c r="C47">
        <v>2</v>
      </c>
      <c r="D47" t="s">
        <v>223</v>
      </c>
      <c r="E47" t="s">
        <v>242</v>
      </c>
      <c r="F47" t="s">
        <v>66</v>
      </c>
      <c r="G47">
        <v>29</v>
      </c>
      <c r="H47">
        <v>6</v>
      </c>
      <c r="I47">
        <v>1620000</v>
      </c>
      <c r="J47">
        <v>0.02</v>
      </c>
      <c r="K47" t="s">
        <v>98</v>
      </c>
      <c r="L47" s="1">
        <v>46135</v>
      </c>
      <c r="N47" t="s">
        <v>81</v>
      </c>
      <c r="P47">
        <v>45</v>
      </c>
      <c r="Q47" t="s">
        <v>224</v>
      </c>
      <c r="R47" t="s">
        <v>83</v>
      </c>
      <c r="S47" t="s">
        <v>55</v>
      </c>
      <c r="T47" t="s">
        <v>56</v>
      </c>
      <c r="U47" t="s">
        <v>243</v>
      </c>
      <c r="V47" t="s">
        <v>71</v>
      </c>
      <c r="W47" t="s">
        <v>72</v>
      </c>
      <c r="X47">
        <v>1200000</v>
      </c>
      <c r="Y47">
        <v>1620000</v>
      </c>
      <c r="Z47" t="s">
        <v>56</v>
      </c>
      <c r="AA47" t="s">
        <v>73</v>
      </c>
      <c r="AB47" t="s">
        <v>74</v>
      </c>
      <c r="AC47" t="s">
        <v>75</v>
      </c>
      <c r="AD47" t="s">
        <v>130</v>
      </c>
      <c r="AE47">
        <v>9525600</v>
      </c>
      <c r="AF47">
        <v>7200000</v>
      </c>
      <c r="AG47">
        <v>2325600</v>
      </c>
      <c r="AH47" t="b">
        <v>1</v>
      </c>
      <c r="AI47" t="b">
        <v>0</v>
      </c>
      <c r="AL47" t="b">
        <v>1</v>
      </c>
      <c r="AM47" t="b">
        <v>0</v>
      </c>
      <c r="AN47">
        <v>9525600</v>
      </c>
      <c r="AO47">
        <v>2325600</v>
      </c>
      <c r="AP47">
        <v>6</v>
      </c>
      <c r="AQ47">
        <v>29</v>
      </c>
      <c r="AR47">
        <v>0</v>
      </c>
      <c r="AS47">
        <v>0</v>
      </c>
      <c r="AT47">
        <v>0</v>
      </c>
      <c r="AU47">
        <v>2325600</v>
      </c>
    </row>
    <row r="48" spans="1:47" x14ac:dyDescent="0.3">
      <c r="A48" s="1">
        <v>46096</v>
      </c>
      <c r="B48" t="s">
        <v>162</v>
      </c>
      <c r="C48">
        <v>4</v>
      </c>
      <c r="D48" t="s">
        <v>78</v>
      </c>
      <c r="E48" t="s">
        <v>97</v>
      </c>
      <c r="F48" t="s">
        <v>80</v>
      </c>
      <c r="G48">
        <v>11</v>
      </c>
      <c r="H48">
        <v>10</v>
      </c>
      <c r="I48">
        <v>427000</v>
      </c>
      <c r="J48">
        <v>0.05</v>
      </c>
      <c r="K48" t="s">
        <v>51</v>
      </c>
      <c r="L48" s="1">
        <v>46097</v>
      </c>
      <c r="M48" s="1">
        <v>46097</v>
      </c>
      <c r="N48" t="s">
        <v>106</v>
      </c>
      <c r="P48">
        <v>46</v>
      </c>
      <c r="Q48" t="s">
        <v>82</v>
      </c>
      <c r="R48" t="s">
        <v>83</v>
      </c>
      <c r="S48" t="s">
        <v>84</v>
      </c>
      <c r="T48" t="s">
        <v>56</v>
      </c>
      <c r="U48" t="s">
        <v>100</v>
      </c>
      <c r="V48" t="s">
        <v>101</v>
      </c>
      <c r="W48" t="s">
        <v>102</v>
      </c>
      <c r="X48">
        <v>350000</v>
      </c>
      <c r="Y48">
        <v>427000</v>
      </c>
      <c r="Z48" t="s">
        <v>56</v>
      </c>
      <c r="AA48" t="s">
        <v>73</v>
      </c>
      <c r="AB48" t="s">
        <v>88</v>
      </c>
      <c r="AC48" t="s">
        <v>83</v>
      </c>
      <c r="AD48" t="s">
        <v>62</v>
      </c>
      <c r="AE48">
        <v>4056500</v>
      </c>
      <c r="AF48">
        <v>3500000</v>
      </c>
      <c r="AG48">
        <v>556500</v>
      </c>
      <c r="AH48" t="b">
        <v>1</v>
      </c>
      <c r="AI48" t="b">
        <v>1</v>
      </c>
      <c r="AJ48">
        <v>1</v>
      </c>
      <c r="AK48">
        <v>0</v>
      </c>
      <c r="AL48" t="b">
        <v>1</v>
      </c>
      <c r="AM48" t="b">
        <v>0</v>
      </c>
      <c r="AN48">
        <v>4056500</v>
      </c>
      <c r="AO48">
        <v>556500</v>
      </c>
      <c r="AP48">
        <v>10</v>
      </c>
      <c r="AQ48">
        <v>11</v>
      </c>
      <c r="AR48">
        <v>1</v>
      </c>
      <c r="AS48">
        <v>1</v>
      </c>
      <c r="AT48">
        <v>0</v>
      </c>
      <c r="AU48">
        <v>556500</v>
      </c>
    </row>
    <row r="49" spans="1:47" x14ac:dyDescent="0.3">
      <c r="A49" s="1">
        <v>46141</v>
      </c>
      <c r="B49" t="s">
        <v>244</v>
      </c>
      <c r="C49">
        <v>2</v>
      </c>
      <c r="D49" t="s">
        <v>245</v>
      </c>
      <c r="E49" t="s">
        <v>246</v>
      </c>
      <c r="F49" t="s">
        <v>50</v>
      </c>
      <c r="G49">
        <v>27</v>
      </c>
      <c r="H49">
        <v>15</v>
      </c>
      <c r="I49">
        <v>1152000</v>
      </c>
      <c r="J49">
        <v>0</v>
      </c>
      <c r="K49" t="s">
        <v>98</v>
      </c>
      <c r="L49" s="1">
        <v>46146</v>
      </c>
      <c r="N49" t="s">
        <v>81</v>
      </c>
      <c r="P49">
        <v>47</v>
      </c>
      <c r="Q49" t="s">
        <v>247</v>
      </c>
      <c r="R49" t="s">
        <v>75</v>
      </c>
      <c r="S49" t="s">
        <v>123</v>
      </c>
      <c r="T49" t="s">
        <v>56</v>
      </c>
      <c r="U49" t="s">
        <v>248</v>
      </c>
      <c r="V49" t="s">
        <v>138</v>
      </c>
      <c r="W49" t="s">
        <v>139</v>
      </c>
      <c r="X49">
        <v>900000</v>
      </c>
      <c r="Y49">
        <v>1152000</v>
      </c>
      <c r="Z49" t="s">
        <v>56</v>
      </c>
      <c r="AA49" t="s">
        <v>73</v>
      </c>
      <c r="AB49" t="s">
        <v>61</v>
      </c>
      <c r="AC49" t="s">
        <v>54</v>
      </c>
      <c r="AD49" t="s">
        <v>130</v>
      </c>
      <c r="AE49">
        <v>17280000</v>
      </c>
      <c r="AF49">
        <v>13500000</v>
      </c>
      <c r="AG49">
        <v>3780000</v>
      </c>
      <c r="AH49" t="b">
        <v>1</v>
      </c>
      <c r="AI49" t="b">
        <v>0</v>
      </c>
      <c r="AL49" t="b">
        <v>1</v>
      </c>
      <c r="AM49" t="b">
        <v>0</v>
      </c>
      <c r="AN49">
        <v>17280000</v>
      </c>
      <c r="AO49">
        <v>3780000</v>
      </c>
      <c r="AP49">
        <v>15</v>
      </c>
      <c r="AQ49">
        <v>27</v>
      </c>
      <c r="AR49">
        <v>0</v>
      </c>
      <c r="AS49">
        <v>0</v>
      </c>
      <c r="AT49">
        <v>0</v>
      </c>
      <c r="AU49">
        <v>3780000</v>
      </c>
    </row>
    <row r="50" spans="1:47" x14ac:dyDescent="0.3">
      <c r="A50" s="1">
        <v>46121</v>
      </c>
      <c r="B50" t="s">
        <v>125</v>
      </c>
      <c r="C50">
        <v>2</v>
      </c>
      <c r="D50" t="s">
        <v>166</v>
      </c>
      <c r="E50" t="s">
        <v>113</v>
      </c>
      <c r="F50" t="s">
        <v>66</v>
      </c>
      <c r="G50">
        <v>22</v>
      </c>
      <c r="H50">
        <v>0</v>
      </c>
      <c r="I50">
        <v>648000</v>
      </c>
      <c r="J50">
        <v>0.08</v>
      </c>
      <c r="K50" t="s">
        <v>127</v>
      </c>
      <c r="L50" s="1">
        <v>46124</v>
      </c>
      <c r="N50" t="s">
        <v>106</v>
      </c>
      <c r="P50">
        <v>48</v>
      </c>
      <c r="Q50" t="s">
        <v>168</v>
      </c>
      <c r="R50" t="s">
        <v>54</v>
      </c>
      <c r="S50" t="s">
        <v>123</v>
      </c>
      <c r="T50" t="s">
        <v>56</v>
      </c>
      <c r="U50" t="s">
        <v>116</v>
      </c>
      <c r="V50" t="s">
        <v>71</v>
      </c>
      <c r="W50" t="s">
        <v>72</v>
      </c>
      <c r="X50">
        <v>480000</v>
      </c>
      <c r="Y50">
        <v>648000</v>
      </c>
      <c r="Z50" t="s">
        <v>56</v>
      </c>
      <c r="AA50" t="s">
        <v>60</v>
      </c>
      <c r="AB50" t="s">
        <v>74</v>
      </c>
      <c r="AC50" t="s">
        <v>75</v>
      </c>
      <c r="AD50" t="s">
        <v>130</v>
      </c>
      <c r="AE50">
        <v>0</v>
      </c>
      <c r="AG50">
        <v>0</v>
      </c>
      <c r="AH50" t="b">
        <v>1</v>
      </c>
      <c r="AI50" t="b">
        <v>0</v>
      </c>
      <c r="AL50" t="b">
        <v>0</v>
      </c>
      <c r="AM50" t="b">
        <v>0</v>
      </c>
      <c r="AN50">
        <v>0</v>
      </c>
      <c r="AO50">
        <v>0</v>
      </c>
      <c r="AP50">
        <v>0</v>
      </c>
      <c r="AQ50">
        <v>0</v>
      </c>
      <c r="AR50">
        <v>0</v>
      </c>
      <c r="AS50">
        <v>0</v>
      </c>
      <c r="AT50">
        <v>0</v>
      </c>
      <c r="AU50">
        <v>0</v>
      </c>
    </row>
    <row r="51" spans="1:47" x14ac:dyDescent="0.3">
      <c r="A51" s="1">
        <v>46095</v>
      </c>
      <c r="B51" t="s">
        <v>249</v>
      </c>
      <c r="C51">
        <v>4</v>
      </c>
      <c r="D51" t="s">
        <v>250</v>
      </c>
      <c r="E51" t="s">
        <v>160</v>
      </c>
      <c r="F51" t="s">
        <v>66</v>
      </c>
      <c r="G51">
        <v>23</v>
      </c>
      <c r="H51">
        <v>23</v>
      </c>
      <c r="I51">
        <v>1125000</v>
      </c>
      <c r="J51">
        <v>0.05</v>
      </c>
      <c r="K51" t="s">
        <v>51</v>
      </c>
      <c r="L51" s="1">
        <v>46098</v>
      </c>
      <c r="M51" s="1">
        <v>46105</v>
      </c>
      <c r="N51" t="s">
        <v>81</v>
      </c>
      <c r="P51">
        <v>49</v>
      </c>
      <c r="Q51" t="s">
        <v>251</v>
      </c>
      <c r="R51" t="s">
        <v>54</v>
      </c>
      <c r="S51" t="s">
        <v>123</v>
      </c>
      <c r="T51" t="s">
        <v>56</v>
      </c>
      <c r="U51" t="s">
        <v>161</v>
      </c>
      <c r="V51" t="s">
        <v>86</v>
      </c>
      <c r="W51" t="s">
        <v>87</v>
      </c>
      <c r="X51">
        <v>900000</v>
      </c>
      <c r="Y51">
        <v>1125000</v>
      </c>
      <c r="Z51" t="s">
        <v>56</v>
      </c>
      <c r="AA51" t="s">
        <v>60</v>
      </c>
      <c r="AB51" t="s">
        <v>74</v>
      </c>
      <c r="AC51" t="s">
        <v>75</v>
      </c>
      <c r="AD51" t="s">
        <v>62</v>
      </c>
      <c r="AE51">
        <v>24581250</v>
      </c>
      <c r="AF51">
        <v>20700000</v>
      </c>
      <c r="AG51">
        <v>3881250</v>
      </c>
      <c r="AH51" t="b">
        <v>1</v>
      </c>
      <c r="AI51" t="b">
        <v>1</v>
      </c>
      <c r="AJ51">
        <v>0</v>
      </c>
      <c r="AK51">
        <v>7</v>
      </c>
      <c r="AL51" t="b">
        <v>1</v>
      </c>
      <c r="AM51" t="b">
        <v>0</v>
      </c>
      <c r="AN51">
        <v>24581250</v>
      </c>
      <c r="AO51">
        <v>3881250</v>
      </c>
      <c r="AP51">
        <v>23</v>
      </c>
      <c r="AQ51">
        <v>23</v>
      </c>
      <c r="AR51">
        <v>0</v>
      </c>
      <c r="AS51">
        <v>1</v>
      </c>
      <c r="AT51">
        <v>0</v>
      </c>
      <c r="AU51">
        <v>3881250</v>
      </c>
    </row>
    <row r="52" spans="1:47" x14ac:dyDescent="0.3">
      <c r="A52" s="1">
        <v>46201</v>
      </c>
      <c r="B52" t="s">
        <v>252</v>
      </c>
      <c r="C52">
        <v>4</v>
      </c>
      <c r="D52" t="s">
        <v>146</v>
      </c>
      <c r="E52" t="s">
        <v>167</v>
      </c>
      <c r="F52" t="s">
        <v>114</v>
      </c>
      <c r="G52">
        <v>21</v>
      </c>
      <c r="H52">
        <v>12</v>
      </c>
      <c r="I52">
        <v>1062000</v>
      </c>
      <c r="J52">
        <v>0.05</v>
      </c>
      <c r="K52" t="s">
        <v>98</v>
      </c>
      <c r="L52" s="1">
        <v>46211</v>
      </c>
      <c r="N52" t="s">
        <v>81</v>
      </c>
      <c r="P52">
        <v>50</v>
      </c>
      <c r="Q52" t="s">
        <v>148</v>
      </c>
      <c r="R52" t="s">
        <v>75</v>
      </c>
      <c r="S52" t="s">
        <v>69</v>
      </c>
      <c r="T52" t="s">
        <v>56</v>
      </c>
      <c r="U52" t="s">
        <v>169</v>
      </c>
      <c r="V52" t="s">
        <v>109</v>
      </c>
      <c r="W52" t="s">
        <v>110</v>
      </c>
      <c r="X52">
        <v>900000</v>
      </c>
      <c r="Y52">
        <v>1062000</v>
      </c>
      <c r="Z52" t="s">
        <v>56</v>
      </c>
      <c r="AA52" t="s">
        <v>60</v>
      </c>
      <c r="AB52" t="s">
        <v>117</v>
      </c>
      <c r="AC52" t="s">
        <v>83</v>
      </c>
      <c r="AD52" t="s">
        <v>118</v>
      </c>
      <c r="AE52">
        <v>12106800</v>
      </c>
      <c r="AF52">
        <v>10800000</v>
      </c>
      <c r="AG52">
        <v>1306800</v>
      </c>
      <c r="AH52" t="b">
        <v>1</v>
      </c>
      <c r="AI52" t="b">
        <v>0</v>
      </c>
      <c r="AL52" t="b">
        <v>1</v>
      </c>
      <c r="AM52" t="b">
        <v>0</v>
      </c>
      <c r="AN52">
        <v>12106800</v>
      </c>
      <c r="AO52">
        <v>1306800</v>
      </c>
      <c r="AP52">
        <v>12</v>
      </c>
      <c r="AQ52">
        <v>21</v>
      </c>
      <c r="AR52">
        <v>0</v>
      </c>
      <c r="AS52">
        <v>0</v>
      </c>
      <c r="AT52">
        <v>0</v>
      </c>
      <c r="AU52">
        <v>1306800</v>
      </c>
    </row>
    <row r="53" spans="1:47" x14ac:dyDescent="0.3">
      <c r="A53" s="1">
        <v>46149</v>
      </c>
      <c r="B53" t="s">
        <v>253</v>
      </c>
      <c r="C53">
        <v>2</v>
      </c>
      <c r="D53" t="s">
        <v>254</v>
      </c>
      <c r="E53" t="s">
        <v>255</v>
      </c>
      <c r="F53" t="s">
        <v>114</v>
      </c>
      <c r="G53">
        <v>29</v>
      </c>
      <c r="H53">
        <v>29</v>
      </c>
      <c r="I53">
        <v>234000</v>
      </c>
      <c r="J53">
        <v>0.1</v>
      </c>
      <c r="K53" t="s">
        <v>51</v>
      </c>
      <c r="L53" s="1">
        <v>46151</v>
      </c>
      <c r="M53" s="1">
        <v>46152</v>
      </c>
      <c r="N53" t="s">
        <v>81</v>
      </c>
      <c r="P53">
        <v>51</v>
      </c>
      <c r="Q53" t="s">
        <v>256</v>
      </c>
      <c r="R53" t="s">
        <v>83</v>
      </c>
      <c r="S53" t="s">
        <v>69</v>
      </c>
      <c r="T53" t="s">
        <v>56</v>
      </c>
      <c r="U53" t="s">
        <v>257</v>
      </c>
      <c r="V53" t="s">
        <v>58</v>
      </c>
      <c r="W53" t="s">
        <v>59</v>
      </c>
      <c r="X53">
        <v>180000</v>
      </c>
      <c r="Y53">
        <v>234000</v>
      </c>
      <c r="Z53" t="s">
        <v>56</v>
      </c>
      <c r="AA53" t="s">
        <v>60</v>
      </c>
      <c r="AB53" t="s">
        <v>117</v>
      </c>
      <c r="AC53" t="s">
        <v>83</v>
      </c>
      <c r="AD53" t="s">
        <v>76</v>
      </c>
      <c r="AE53">
        <v>6107400</v>
      </c>
      <c r="AF53">
        <v>5220000</v>
      </c>
      <c r="AG53">
        <v>887400</v>
      </c>
      <c r="AH53" t="b">
        <v>1</v>
      </c>
      <c r="AI53" t="b">
        <v>1</v>
      </c>
      <c r="AJ53">
        <v>0</v>
      </c>
      <c r="AK53">
        <v>1</v>
      </c>
      <c r="AL53" t="b">
        <v>1</v>
      </c>
      <c r="AM53" t="b">
        <v>0</v>
      </c>
      <c r="AN53">
        <v>6107400</v>
      </c>
      <c r="AO53">
        <v>887400</v>
      </c>
      <c r="AP53">
        <v>29</v>
      </c>
      <c r="AQ53">
        <v>29</v>
      </c>
      <c r="AR53">
        <v>0</v>
      </c>
      <c r="AS53">
        <v>1</v>
      </c>
      <c r="AT53">
        <v>0</v>
      </c>
      <c r="AU53">
        <v>887400</v>
      </c>
    </row>
    <row r="54" spans="1:47" x14ac:dyDescent="0.3">
      <c r="A54" s="1">
        <v>46042</v>
      </c>
      <c r="B54" t="s">
        <v>258</v>
      </c>
      <c r="C54">
        <v>3</v>
      </c>
      <c r="D54" t="s">
        <v>112</v>
      </c>
      <c r="E54" t="s">
        <v>259</v>
      </c>
      <c r="F54" t="s">
        <v>114</v>
      </c>
      <c r="G54">
        <v>22</v>
      </c>
      <c r="H54">
        <v>0</v>
      </c>
      <c r="I54">
        <v>146000</v>
      </c>
      <c r="J54">
        <v>0.08</v>
      </c>
      <c r="K54" t="s">
        <v>127</v>
      </c>
      <c r="L54" s="1">
        <v>46047</v>
      </c>
      <c r="N54" t="s">
        <v>52</v>
      </c>
      <c r="P54">
        <v>52</v>
      </c>
      <c r="Q54" t="s">
        <v>115</v>
      </c>
      <c r="R54" t="s">
        <v>75</v>
      </c>
      <c r="S54" t="s">
        <v>55</v>
      </c>
      <c r="T54" t="s">
        <v>56</v>
      </c>
      <c r="U54" t="s">
        <v>260</v>
      </c>
      <c r="V54" t="s">
        <v>101</v>
      </c>
      <c r="W54" t="s">
        <v>102</v>
      </c>
      <c r="X54">
        <v>120000</v>
      </c>
      <c r="Y54">
        <v>146000</v>
      </c>
      <c r="Z54" t="s">
        <v>56</v>
      </c>
      <c r="AA54" t="s">
        <v>129</v>
      </c>
      <c r="AB54" t="s">
        <v>117</v>
      </c>
      <c r="AC54" t="s">
        <v>83</v>
      </c>
      <c r="AD54" t="s">
        <v>94</v>
      </c>
      <c r="AE54">
        <v>0</v>
      </c>
      <c r="AG54">
        <v>0</v>
      </c>
      <c r="AH54" t="b">
        <v>1</v>
      </c>
      <c r="AI54" t="b">
        <v>0</v>
      </c>
      <c r="AL54" t="b">
        <v>0</v>
      </c>
      <c r="AM54" t="b">
        <v>0</v>
      </c>
      <c r="AN54">
        <v>0</v>
      </c>
      <c r="AO54">
        <v>0</v>
      </c>
      <c r="AP54">
        <v>0</v>
      </c>
      <c r="AQ54">
        <v>0</v>
      </c>
      <c r="AR54">
        <v>0</v>
      </c>
      <c r="AS54">
        <v>0</v>
      </c>
      <c r="AT54">
        <v>0</v>
      </c>
      <c r="AU54">
        <v>0</v>
      </c>
    </row>
    <row r="55" spans="1:47" x14ac:dyDescent="0.3">
      <c r="A55" s="1">
        <v>46183</v>
      </c>
      <c r="B55" t="s">
        <v>261</v>
      </c>
      <c r="C55">
        <v>1</v>
      </c>
      <c r="D55" t="s">
        <v>262</v>
      </c>
      <c r="E55" t="s">
        <v>79</v>
      </c>
      <c r="F55" t="s">
        <v>80</v>
      </c>
      <c r="G55">
        <v>-2</v>
      </c>
      <c r="H55">
        <v>-2</v>
      </c>
      <c r="I55">
        <v>150000</v>
      </c>
      <c r="J55">
        <v>0.05</v>
      </c>
      <c r="K55" t="s">
        <v>216</v>
      </c>
      <c r="L55" s="1">
        <v>46184</v>
      </c>
      <c r="M55" s="1">
        <v>46191</v>
      </c>
      <c r="N55" t="s">
        <v>106</v>
      </c>
      <c r="P55">
        <v>53</v>
      </c>
      <c r="Q55" t="s">
        <v>263</v>
      </c>
      <c r="R55" t="s">
        <v>83</v>
      </c>
      <c r="S55" t="s">
        <v>55</v>
      </c>
      <c r="T55" t="s">
        <v>56</v>
      </c>
      <c r="U55" t="s">
        <v>85</v>
      </c>
      <c r="V55" t="s">
        <v>86</v>
      </c>
      <c r="W55" t="s">
        <v>87</v>
      </c>
      <c r="X55">
        <v>120000</v>
      </c>
      <c r="Y55">
        <v>150000</v>
      </c>
      <c r="Z55" t="s">
        <v>56</v>
      </c>
      <c r="AA55" t="s">
        <v>60</v>
      </c>
      <c r="AB55" t="s">
        <v>88</v>
      </c>
      <c r="AC55" t="s">
        <v>83</v>
      </c>
      <c r="AD55" t="s">
        <v>118</v>
      </c>
      <c r="AE55">
        <v>-285000</v>
      </c>
      <c r="AF55">
        <v>-240000</v>
      </c>
      <c r="AG55">
        <v>-45000</v>
      </c>
      <c r="AH55" t="b">
        <v>1</v>
      </c>
      <c r="AI55" t="b">
        <v>1</v>
      </c>
      <c r="AJ55">
        <v>0</v>
      </c>
      <c r="AK55">
        <v>7</v>
      </c>
      <c r="AL55" t="b">
        <v>0</v>
      </c>
      <c r="AM55" t="b">
        <v>1</v>
      </c>
      <c r="AN55">
        <v>-285000</v>
      </c>
      <c r="AO55">
        <v>-45000</v>
      </c>
      <c r="AP55">
        <v>0</v>
      </c>
      <c r="AQ55">
        <v>0</v>
      </c>
      <c r="AR55">
        <v>0</v>
      </c>
      <c r="AS55">
        <v>1</v>
      </c>
      <c r="AT55">
        <v>-285000</v>
      </c>
      <c r="AU55">
        <v>-45000</v>
      </c>
    </row>
    <row r="56" spans="1:47" x14ac:dyDescent="0.3">
      <c r="A56" s="1">
        <v>46136</v>
      </c>
      <c r="B56" t="s">
        <v>264</v>
      </c>
      <c r="C56">
        <v>3</v>
      </c>
      <c r="D56" t="s">
        <v>265</v>
      </c>
      <c r="E56" t="s">
        <v>105</v>
      </c>
      <c r="F56" t="s">
        <v>50</v>
      </c>
      <c r="G56">
        <v>4</v>
      </c>
      <c r="H56">
        <v>4</v>
      </c>
      <c r="I56">
        <v>212000</v>
      </c>
      <c r="J56">
        <v>0</v>
      </c>
      <c r="K56" t="s">
        <v>51</v>
      </c>
      <c r="L56" s="1">
        <v>46138</v>
      </c>
      <c r="M56" s="1">
        <v>46140</v>
      </c>
      <c r="N56" t="s">
        <v>67</v>
      </c>
      <c r="O56" t="s">
        <v>266</v>
      </c>
      <c r="P56">
        <v>54</v>
      </c>
      <c r="R56" t="s">
        <v>267</v>
      </c>
      <c r="U56" t="s">
        <v>108</v>
      </c>
      <c r="V56" t="s">
        <v>109</v>
      </c>
      <c r="W56" t="s">
        <v>110</v>
      </c>
      <c r="X56">
        <v>180000</v>
      </c>
      <c r="Y56">
        <v>212000</v>
      </c>
      <c r="Z56" t="s">
        <v>56</v>
      </c>
      <c r="AA56" t="s">
        <v>73</v>
      </c>
      <c r="AB56" t="s">
        <v>61</v>
      </c>
      <c r="AC56" t="s">
        <v>54</v>
      </c>
      <c r="AD56" t="s">
        <v>130</v>
      </c>
      <c r="AE56">
        <v>848000</v>
      </c>
      <c r="AF56">
        <v>720000</v>
      </c>
      <c r="AG56">
        <v>128000</v>
      </c>
      <c r="AH56" t="b">
        <v>1</v>
      </c>
      <c r="AI56" t="b">
        <v>1</v>
      </c>
      <c r="AJ56">
        <v>0</v>
      </c>
      <c r="AK56">
        <v>2</v>
      </c>
      <c r="AL56" t="b">
        <v>1</v>
      </c>
      <c r="AM56" t="b">
        <v>0</v>
      </c>
      <c r="AN56">
        <v>848000</v>
      </c>
      <c r="AO56">
        <v>128000</v>
      </c>
      <c r="AP56">
        <v>4</v>
      </c>
      <c r="AQ56">
        <v>4</v>
      </c>
      <c r="AR56">
        <v>0</v>
      </c>
      <c r="AS56">
        <v>1</v>
      </c>
      <c r="AT56">
        <v>0</v>
      </c>
      <c r="AU56">
        <v>128000</v>
      </c>
    </row>
    <row r="57" spans="1:47" x14ac:dyDescent="0.3">
      <c r="A57" s="1">
        <v>46167</v>
      </c>
      <c r="B57" t="s">
        <v>268</v>
      </c>
      <c r="C57">
        <v>2</v>
      </c>
      <c r="D57" t="s">
        <v>269</v>
      </c>
      <c r="E57" t="s">
        <v>65</v>
      </c>
      <c r="F57" t="s">
        <v>66</v>
      </c>
      <c r="G57">
        <v>16</v>
      </c>
      <c r="H57">
        <v>16</v>
      </c>
      <c r="I57">
        <v>2430000</v>
      </c>
      <c r="J57">
        <v>0</v>
      </c>
      <c r="K57" t="s">
        <v>51</v>
      </c>
      <c r="L57" s="1">
        <v>46172</v>
      </c>
      <c r="M57" s="1">
        <v>46175</v>
      </c>
      <c r="N57" t="s">
        <v>52</v>
      </c>
      <c r="P57">
        <v>55</v>
      </c>
      <c r="Q57" t="s">
        <v>270</v>
      </c>
      <c r="R57" t="s">
        <v>83</v>
      </c>
      <c r="S57" t="s">
        <v>55</v>
      </c>
      <c r="T57" t="s">
        <v>56</v>
      </c>
      <c r="U57" t="s">
        <v>70</v>
      </c>
      <c r="V57" t="s">
        <v>71</v>
      </c>
      <c r="W57" t="s">
        <v>72</v>
      </c>
      <c r="X57">
        <v>1800000</v>
      </c>
      <c r="Y57">
        <v>2430000</v>
      </c>
      <c r="Z57" t="s">
        <v>56</v>
      </c>
      <c r="AA57" t="s">
        <v>73</v>
      </c>
      <c r="AB57" t="s">
        <v>74</v>
      </c>
      <c r="AC57" t="s">
        <v>75</v>
      </c>
      <c r="AD57" t="s">
        <v>76</v>
      </c>
      <c r="AE57">
        <v>38880000</v>
      </c>
      <c r="AF57">
        <v>28800000</v>
      </c>
      <c r="AG57">
        <v>10080000</v>
      </c>
      <c r="AH57" t="b">
        <v>1</v>
      </c>
      <c r="AI57" t="b">
        <v>1</v>
      </c>
      <c r="AJ57">
        <v>0</v>
      </c>
      <c r="AK57">
        <v>3</v>
      </c>
      <c r="AL57" t="b">
        <v>1</v>
      </c>
      <c r="AM57" t="b">
        <v>0</v>
      </c>
      <c r="AN57">
        <v>38880000</v>
      </c>
      <c r="AO57">
        <v>10080000</v>
      </c>
      <c r="AP57">
        <v>16</v>
      </c>
      <c r="AQ57">
        <v>16</v>
      </c>
      <c r="AR57">
        <v>0</v>
      </c>
      <c r="AS57">
        <v>1</v>
      </c>
      <c r="AT57">
        <v>0</v>
      </c>
      <c r="AU57">
        <v>10080000</v>
      </c>
    </row>
    <row r="58" spans="1:47" x14ac:dyDescent="0.3">
      <c r="A58" s="1">
        <v>46140</v>
      </c>
      <c r="B58" t="s">
        <v>271</v>
      </c>
      <c r="C58">
        <v>1</v>
      </c>
      <c r="D58" t="s">
        <v>182</v>
      </c>
      <c r="E58" t="s">
        <v>246</v>
      </c>
      <c r="F58" t="s">
        <v>80</v>
      </c>
      <c r="G58">
        <v>5</v>
      </c>
      <c r="H58">
        <v>3</v>
      </c>
      <c r="I58">
        <v>1152000</v>
      </c>
      <c r="J58">
        <v>0.02</v>
      </c>
      <c r="K58" t="s">
        <v>51</v>
      </c>
      <c r="L58" s="1">
        <v>46150</v>
      </c>
      <c r="M58" s="1">
        <v>46151</v>
      </c>
      <c r="N58" t="s">
        <v>52</v>
      </c>
      <c r="P58">
        <v>56</v>
      </c>
      <c r="Q58" t="s">
        <v>183</v>
      </c>
      <c r="R58" t="s">
        <v>75</v>
      </c>
      <c r="S58" t="s">
        <v>69</v>
      </c>
      <c r="T58" t="s">
        <v>56</v>
      </c>
      <c r="U58" t="s">
        <v>248</v>
      </c>
      <c r="V58" t="s">
        <v>138</v>
      </c>
      <c r="W58" t="s">
        <v>139</v>
      </c>
      <c r="X58">
        <v>900000</v>
      </c>
      <c r="Y58">
        <v>1152000</v>
      </c>
      <c r="Z58" t="s">
        <v>56</v>
      </c>
      <c r="AA58" t="s">
        <v>73</v>
      </c>
      <c r="AB58" t="s">
        <v>88</v>
      </c>
      <c r="AC58" t="s">
        <v>83</v>
      </c>
      <c r="AD58" t="s">
        <v>130</v>
      </c>
      <c r="AE58">
        <v>3386880</v>
      </c>
      <c r="AF58">
        <v>2700000</v>
      </c>
      <c r="AG58">
        <v>686880</v>
      </c>
      <c r="AH58" t="b">
        <v>1</v>
      </c>
      <c r="AI58" t="b">
        <v>1</v>
      </c>
      <c r="AJ58">
        <v>0</v>
      </c>
      <c r="AK58">
        <v>1</v>
      </c>
      <c r="AL58" t="b">
        <v>1</v>
      </c>
      <c r="AM58" t="b">
        <v>0</v>
      </c>
      <c r="AN58">
        <v>3386880</v>
      </c>
      <c r="AO58">
        <v>686880</v>
      </c>
      <c r="AP58">
        <v>3</v>
      </c>
      <c r="AQ58">
        <v>5</v>
      </c>
      <c r="AR58">
        <v>0</v>
      </c>
      <c r="AS58">
        <v>1</v>
      </c>
      <c r="AT58">
        <v>0</v>
      </c>
      <c r="AU58">
        <v>686880</v>
      </c>
    </row>
    <row r="59" spans="1:47" x14ac:dyDescent="0.3">
      <c r="A59" s="1">
        <v>46139</v>
      </c>
      <c r="B59" t="s">
        <v>272</v>
      </c>
      <c r="C59">
        <v>2</v>
      </c>
      <c r="D59" t="s">
        <v>104</v>
      </c>
      <c r="E59" t="s">
        <v>273</v>
      </c>
      <c r="F59" t="s">
        <v>114</v>
      </c>
      <c r="G59">
        <v>16</v>
      </c>
      <c r="H59">
        <v>14</v>
      </c>
      <c r="I59">
        <v>2304000</v>
      </c>
      <c r="J59">
        <v>0.02</v>
      </c>
      <c r="K59" t="s">
        <v>51</v>
      </c>
      <c r="L59" s="1">
        <v>46149</v>
      </c>
      <c r="M59" s="1">
        <v>46149</v>
      </c>
      <c r="N59" t="s">
        <v>106</v>
      </c>
      <c r="P59">
        <v>57</v>
      </c>
      <c r="Q59" t="s">
        <v>107</v>
      </c>
      <c r="R59" t="s">
        <v>83</v>
      </c>
      <c r="S59" t="s">
        <v>55</v>
      </c>
      <c r="T59" t="s">
        <v>56</v>
      </c>
      <c r="U59" t="s">
        <v>274</v>
      </c>
      <c r="V59" t="s">
        <v>138</v>
      </c>
      <c r="W59" t="s">
        <v>139</v>
      </c>
      <c r="X59">
        <v>1800000</v>
      </c>
      <c r="Y59">
        <v>2304000</v>
      </c>
      <c r="Z59" t="s">
        <v>56</v>
      </c>
      <c r="AA59" t="s">
        <v>73</v>
      </c>
      <c r="AB59" t="s">
        <v>117</v>
      </c>
      <c r="AC59" t="s">
        <v>83</v>
      </c>
      <c r="AD59" t="s">
        <v>130</v>
      </c>
      <c r="AE59">
        <v>31610880</v>
      </c>
      <c r="AF59">
        <v>25200000</v>
      </c>
      <c r="AG59">
        <v>6410880</v>
      </c>
      <c r="AH59" t="b">
        <v>1</v>
      </c>
      <c r="AI59" t="b">
        <v>1</v>
      </c>
      <c r="AJ59">
        <v>1</v>
      </c>
      <c r="AK59">
        <v>0</v>
      </c>
      <c r="AL59" t="b">
        <v>1</v>
      </c>
      <c r="AM59" t="b">
        <v>0</v>
      </c>
      <c r="AN59">
        <v>31610880</v>
      </c>
      <c r="AO59">
        <v>6410880</v>
      </c>
      <c r="AP59">
        <v>14</v>
      </c>
      <c r="AQ59">
        <v>16</v>
      </c>
      <c r="AR59">
        <v>1</v>
      </c>
      <c r="AS59">
        <v>1</v>
      </c>
      <c r="AT59">
        <v>0</v>
      </c>
      <c r="AU59">
        <v>6410880</v>
      </c>
    </row>
    <row r="60" spans="1:47" x14ac:dyDescent="0.3">
      <c r="A60" s="1">
        <v>46191</v>
      </c>
      <c r="B60" t="s">
        <v>275</v>
      </c>
      <c r="C60">
        <v>3</v>
      </c>
      <c r="D60" t="s">
        <v>171</v>
      </c>
      <c r="E60" t="s">
        <v>220</v>
      </c>
      <c r="F60" t="s">
        <v>66</v>
      </c>
      <c r="G60">
        <v>19</v>
      </c>
      <c r="H60">
        <v>7</v>
      </c>
      <c r="I60">
        <v>234000</v>
      </c>
      <c r="J60">
        <v>0.08</v>
      </c>
      <c r="K60" t="s">
        <v>98</v>
      </c>
      <c r="L60" s="1">
        <v>46194</v>
      </c>
      <c r="N60" t="s">
        <v>81</v>
      </c>
      <c r="P60">
        <v>58</v>
      </c>
      <c r="Q60" t="s">
        <v>172</v>
      </c>
      <c r="R60" t="s">
        <v>54</v>
      </c>
      <c r="S60" t="s">
        <v>84</v>
      </c>
      <c r="T60" t="s">
        <v>56</v>
      </c>
      <c r="U60" t="s">
        <v>221</v>
      </c>
      <c r="V60" t="s">
        <v>58</v>
      </c>
      <c r="W60" t="s">
        <v>59</v>
      </c>
      <c r="X60">
        <v>180000</v>
      </c>
      <c r="Y60">
        <v>234000</v>
      </c>
      <c r="Z60" t="s">
        <v>56</v>
      </c>
      <c r="AA60" t="s">
        <v>60</v>
      </c>
      <c r="AB60" t="s">
        <v>74</v>
      </c>
      <c r="AC60" t="s">
        <v>75</v>
      </c>
      <c r="AD60" t="s">
        <v>118</v>
      </c>
      <c r="AE60">
        <v>1506960</v>
      </c>
      <c r="AF60">
        <v>1260000</v>
      </c>
      <c r="AG60">
        <v>246960</v>
      </c>
      <c r="AH60" t="b">
        <v>1</v>
      </c>
      <c r="AI60" t="b">
        <v>0</v>
      </c>
      <c r="AL60" t="b">
        <v>1</v>
      </c>
      <c r="AM60" t="b">
        <v>0</v>
      </c>
      <c r="AN60">
        <v>1506960</v>
      </c>
      <c r="AO60">
        <v>246960</v>
      </c>
      <c r="AP60">
        <v>7</v>
      </c>
      <c r="AQ60">
        <v>19</v>
      </c>
      <c r="AR60">
        <v>0</v>
      </c>
      <c r="AS60">
        <v>0</v>
      </c>
      <c r="AT60">
        <v>0</v>
      </c>
      <c r="AU60">
        <v>246960</v>
      </c>
    </row>
    <row r="61" spans="1:47" x14ac:dyDescent="0.3">
      <c r="A61" s="1">
        <v>46185</v>
      </c>
      <c r="B61" t="s">
        <v>276</v>
      </c>
      <c r="C61">
        <v>3</v>
      </c>
      <c r="D61" t="s">
        <v>277</v>
      </c>
      <c r="E61" t="s">
        <v>236</v>
      </c>
      <c r="F61" t="s">
        <v>114</v>
      </c>
      <c r="G61">
        <v>20</v>
      </c>
      <c r="H61">
        <v>1</v>
      </c>
      <c r="I61">
        <v>448000</v>
      </c>
      <c r="J61">
        <v>0.08</v>
      </c>
      <c r="K61" t="s">
        <v>98</v>
      </c>
      <c r="L61" s="1">
        <v>46188</v>
      </c>
      <c r="N61" t="s">
        <v>81</v>
      </c>
      <c r="P61">
        <v>59</v>
      </c>
      <c r="Q61" t="s">
        <v>278</v>
      </c>
      <c r="R61" t="s">
        <v>75</v>
      </c>
      <c r="S61" t="s">
        <v>123</v>
      </c>
      <c r="T61" t="s">
        <v>218</v>
      </c>
      <c r="U61" t="s">
        <v>237</v>
      </c>
      <c r="V61" t="s">
        <v>138</v>
      </c>
      <c r="W61" t="s">
        <v>139</v>
      </c>
      <c r="X61">
        <v>350000</v>
      </c>
      <c r="Y61">
        <v>448000</v>
      </c>
      <c r="Z61" t="s">
        <v>134</v>
      </c>
      <c r="AA61" t="s">
        <v>73</v>
      </c>
      <c r="AB61" t="s">
        <v>117</v>
      </c>
      <c r="AC61" t="s">
        <v>83</v>
      </c>
      <c r="AD61" t="s">
        <v>118</v>
      </c>
      <c r="AE61">
        <v>412160</v>
      </c>
      <c r="AF61">
        <v>350000</v>
      </c>
      <c r="AG61">
        <v>62160</v>
      </c>
      <c r="AH61" t="b">
        <v>1</v>
      </c>
      <c r="AI61" t="b">
        <v>0</v>
      </c>
      <c r="AL61" t="b">
        <v>1</v>
      </c>
      <c r="AM61" t="b">
        <v>0</v>
      </c>
      <c r="AN61">
        <v>412160</v>
      </c>
      <c r="AO61">
        <v>62160</v>
      </c>
      <c r="AP61">
        <v>1</v>
      </c>
      <c r="AQ61">
        <v>20</v>
      </c>
      <c r="AR61">
        <v>0</v>
      </c>
      <c r="AS61">
        <v>0</v>
      </c>
      <c r="AT61">
        <v>0</v>
      </c>
      <c r="AU61">
        <v>62160</v>
      </c>
    </row>
    <row r="62" spans="1:47" x14ac:dyDescent="0.3">
      <c r="A62" s="1">
        <v>46046</v>
      </c>
      <c r="B62" t="s">
        <v>279</v>
      </c>
      <c r="C62">
        <v>3</v>
      </c>
      <c r="D62" t="s">
        <v>96</v>
      </c>
      <c r="E62" t="s">
        <v>197</v>
      </c>
      <c r="F62" t="s">
        <v>80</v>
      </c>
      <c r="G62">
        <v>9</v>
      </c>
      <c r="H62">
        <v>5</v>
      </c>
      <c r="I62">
        <v>1215000</v>
      </c>
      <c r="J62">
        <v>0.08</v>
      </c>
      <c r="K62" t="s">
        <v>98</v>
      </c>
      <c r="L62" s="1">
        <v>46053</v>
      </c>
      <c r="N62" t="s">
        <v>52</v>
      </c>
      <c r="P62">
        <v>60</v>
      </c>
      <c r="Q62" t="s">
        <v>99</v>
      </c>
      <c r="R62" t="s">
        <v>75</v>
      </c>
      <c r="S62" t="s">
        <v>55</v>
      </c>
      <c r="T62" t="s">
        <v>56</v>
      </c>
      <c r="U62" t="s">
        <v>198</v>
      </c>
      <c r="V62" t="s">
        <v>71</v>
      </c>
      <c r="W62" t="s">
        <v>72</v>
      </c>
      <c r="X62">
        <v>900000</v>
      </c>
      <c r="Y62">
        <v>1215000</v>
      </c>
      <c r="Z62" t="s">
        <v>56</v>
      </c>
      <c r="AA62" t="s">
        <v>129</v>
      </c>
      <c r="AB62" t="s">
        <v>88</v>
      </c>
      <c r="AC62" t="s">
        <v>83</v>
      </c>
      <c r="AD62" t="s">
        <v>94</v>
      </c>
      <c r="AE62">
        <v>5589000</v>
      </c>
      <c r="AF62">
        <v>4500000</v>
      </c>
      <c r="AG62">
        <v>1089000</v>
      </c>
      <c r="AH62" t="b">
        <v>1</v>
      </c>
      <c r="AI62" t="b">
        <v>0</v>
      </c>
      <c r="AL62" t="b">
        <v>1</v>
      </c>
      <c r="AM62" t="b">
        <v>0</v>
      </c>
      <c r="AN62">
        <v>5589000</v>
      </c>
      <c r="AO62">
        <v>1089000</v>
      </c>
      <c r="AP62">
        <v>5</v>
      </c>
      <c r="AQ62">
        <v>9</v>
      </c>
      <c r="AR62">
        <v>0</v>
      </c>
      <c r="AS62">
        <v>0</v>
      </c>
      <c r="AT62">
        <v>0</v>
      </c>
      <c r="AU62">
        <v>1089000</v>
      </c>
    </row>
    <row r="63" spans="1:47" x14ac:dyDescent="0.3">
      <c r="A63" s="1">
        <v>46065</v>
      </c>
      <c r="B63" t="s">
        <v>280</v>
      </c>
      <c r="C63">
        <v>4</v>
      </c>
      <c r="D63" t="s">
        <v>163</v>
      </c>
      <c r="E63" t="s">
        <v>255</v>
      </c>
      <c r="F63" t="s">
        <v>114</v>
      </c>
      <c r="G63">
        <v>-3</v>
      </c>
      <c r="H63">
        <v>-3</v>
      </c>
      <c r="I63">
        <v>234000</v>
      </c>
      <c r="J63">
        <v>0</v>
      </c>
      <c r="K63" t="s">
        <v>216</v>
      </c>
      <c r="L63" s="1">
        <v>46075</v>
      </c>
      <c r="M63" s="1">
        <v>46078</v>
      </c>
      <c r="N63" t="s">
        <v>67</v>
      </c>
      <c r="P63">
        <v>61</v>
      </c>
      <c r="Q63" t="s">
        <v>164</v>
      </c>
      <c r="R63" t="s">
        <v>75</v>
      </c>
      <c r="S63" t="s">
        <v>69</v>
      </c>
      <c r="T63" t="s">
        <v>56</v>
      </c>
      <c r="U63" t="s">
        <v>257</v>
      </c>
      <c r="V63" t="s">
        <v>58</v>
      </c>
      <c r="W63" t="s">
        <v>59</v>
      </c>
      <c r="X63">
        <v>180000</v>
      </c>
      <c r="Y63">
        <v>234000</v>
      </c>
      <c r="Z63" t="s">
        <v>56</v>
      </c>
      <c r="AA63" t="s">
        <v>60</v>
      </c>
      <c r="AB63" t="s">
        <v>117</v>
      </c>
      <c r="AC63" t="s">
        <v>83</v>
      </c>
      <c r="AD63" t="s">
        <v>158</v>
      </c>
      <c r="AE63">
        <v>-702000</v>
      </c>
      <c r="AF63">
        <v>-540000</v>
      </c>
      <c r="AG63">
        <v>-162000</v>
      </c>
      <c r="AH63" t="b">
        <v>1</v>
      </c>
      <c r="AI63" t="b">
        <v>1</v>
      </c>
      <c r="AJ63">
        <v>0</v>
      </c>
      <c r="AK63">
        <v>3</v>
      </c>
      <c r="AL63" t="b">
        <v>0</v>
      </c>
      <c r="AM63" t="b">
        <v>1</v>
      </c>
      <c r="AN63">
        <v>-702000</v>
      </c>
      <c r="AO63">
        <v>-162000</v>
      </c>
      <c r="AP63">
        <v>0</v>
      </c>
      <c r="AQ63">
        <v>0</v>
      </c>
      <c r="AR63">
        <v>0</v>
      </c>
      <c r="AS63">
        <v>1</v>
      </c>
      <c r="AT63">
        <v>-702000</v>
      </c>
      <c r="AU63">
        <v>-162000</v>
      </c>
    </row>
    <row r="64" spans="1:47" x14ac:dyDescent="0.3">
      <c r="A64" s="1">
        <v>46165</v>
      </c>
      <c r="B64" t="s">
        <v>281</v>
      </c>
      <c r="C64">
        <v>1</v>
      </c>
      <c r="D64" t="s">
        <v>151</v>
      </c>
      <c r="E64" t="s">
        <v>282</v>
      </c>
      <c r="F64" t="s">
        <v>50</v>
      </c>
      <c r="G64">
        <v>35</v>
      </c>
      <c r="H64">
        <v>33</v>
      </c>
      <c r="I64">
        <v>230000</v>
      </c>
      <c r="J64">
        <v>0.1</v>
      </c>
      <c r="K64" t="s">
        <v>51</v>
      </c>
      <c r="L64" s="1">
        <v>46175</v>
      </c>
      <c r="M64" s="1">
        <v>46175</v>
      </c>
      <c r="N64" t="s">
        <v>67</v>
      </c>
      <c r="P64">
        <v>62</v>
      </c>
      <c r="Q64" t="s">
        <v>153</v>
      </c>
      <c r="R64" t="s">
        <v>75</v>
      </c>
      <c r="S64" t="s">
        <v>69</v>
      </c>
      <c r="T64" t="s">
        <v>56</v>
      </c>
      <c r="U64" t="s">
        <v>283</v>
      </c>
      <c r="V64" t="s">
        <v>138</v>
      </c>
      <c r="W64" t="s">
        <v>139</v>
      </c>
      <c r="X64">
        <v>180000</v>
      </c>
      <c r="Y64">
        <v>230000</v>
      </c>
      <c r="Z64" t="s">
        <v>56</v>
      </c>
      <c r="AA64" t="s">
        <v>129</v>
      </c>
      <c r="AB64" t="s">
        <v>61</v>
      </c>
      <c r="AC64" t="s">
        <v>54</v>
      </c>
      <c r="AD64" t="s">
        <v>76</v>
      </c>
      <c r="AE64">
        <v>6831000</v>
      </c>
      <c r="AF64">
        <v>5940000</v>
      </c>
      <c r="AG64">
        <v>891000</v>
      </c>
      <c r="AH64" t="b">
        <v>1</v>
      </c>
      <c r="AI64" t="b">
        <v>1</v>
      </c>
      <c r="AJ64">
        <v>1</v>
      </c>
      <c r="AK64">
        <v>0</v>
      </c>
      <c r="AL64" t="b">
        <v>1</v>
      </c>
      <c r="AM64" t="b">
        <v>0</v>
      </c>
      <c r="AN64">
        <v>6831000</v>
      </c>
      <c r="AO64">
        <v>891000</v>
      </c>
      <c r="AP64">
        <v>33</v>
      </c>
      <c r="AQ64">
        <v>35</v>
      </c>
      <c r="AR64">
        <v>1</v>
      </c>
      <c r="AS64">
        <v>1</v>
      </c>
      <c r="AT64">
        <v>0</v>
      </c>
      <c r="AU64">
        <v>891000</v>
      </c>
    </row>
    <row r="65" spans="1:47" x14ac:dyDescent="0.3">
      <c r="A65" s="1">
        <v>46186</v>
      </c>
      <c r="B65" t="s">
        <v>284</v>
      </c>
      <c r="C65">
        <v>1</v>
      </c>
      <c r="D65" t="s">
        <v>146</v>
      </c>
      <c r="E65" t="s">
        <v>273</v>
      </c>
      <c r="F65" t="s">
        <v>114</v>
      </c>
      <c r="G65">
        <v>21</v>
      </c>
      <c r="H65">
        <v>0</v>
      </c>
      <c r="I65">
        <v>2304000</v>
      </c>
      <c r="J65">
        <v>0</v>
      </c>
      <c r="K65" t="s">
        <v>127</v>
      </c>
      <c r="L65" s="1">
        <v>46196</v>
      </c>
      <c r="N65" t="s">
        <v>106</v>
      </c>
      <c r="P65">
        <v>63</v>
      </c>
      <c r="Q65" t="s">
        <v>148</v>
      </c>
      <c r="R65" t="s">
        <v>75</v>
      </c>
      <c r="S65" t="s">
        <v>69</v>
      </c>
      <c r="T65" t="s">
        <v>56</v>
      </c>
      <c r="U65" t="s">
        <v>274</v>
      </c>
      <c r="V65" t="s">
        <v>138</v>
      </c>
      <c r="W65" t="s">
        <v>139</v>
      </c>
      <c r="X65">
        <v>1800000</v>
      </c>
      <c r="Y65">
        <v>2304000</v>
      </c>
      <c r="Z65" t="s">
        <v>56</v>
      </c>
      <c r="AA65" t="s">
        <v>73</v>
      </c>
      <c r="AB65" t="s">
        <v>117</v>
      </c>
      <c r="AC65" t="s">
        <v>83</v>
      </c>
      <c r="AD65" t="s">
        <v>118</v>
      </c>
      <c r="AE65">
        <v>0</v>
      </c>
      <c r="AG65">
        <v>0</v>
      </c>
      <c r="AH65" t="b">
        <v>1</v>
      </c>
      <c r="AI65" t="b">
        <v>0</v>
      </c>
      <c r="AL65" t="b">
        <v>0</v>
      </c>
      <c r="AM65" t="b">
        <v>0</v>
      </c>
      <c r="AN65">
        <v>0</v>
      </c>
      <c r="AO65">
        <v>0</v>
      </c>
      <c r="AP65">
        <v>0</v>
      </c>
      <c r="AQ65">
        <v>0</v>
      </c>
      <c r="AR65">
        <v>0</v>
      </c>
      <c r="AS65">
        <v>0</v>
      </c>
      <c r="AT65">
        <v>0</v>
      </c>
      <c r="AU65">
        <v>0</v>
      </c>
    </row>
    <row r="66" spans="1:47" x14ac:dyDescent="0.3">
      <c r="A66" s="1">
        <v>46185</v>
      </c>
      <c r="B66" t="s">
        <v>285</v>
      </c>
      <c r="C66">
        <v>3</v>
      </c>
      <c r="D66" t="s">
        <v>96</v>
      </c>
      <c r="E66" t="s">
        <v>230</v>
      </c>
      <c r="F66" t="s">
        <v>80</v>
      </c>
      <c r="G66">
        <v>3</v>
      </c>
      <c r="H66">
        <v>0</v>
      </c>
      <c r="I66">
        <v>2196000</v>
      </c>
      <c r="J66">
        <v>0.02</v>
      </c>
      <c r="K66" t="s">
        <v>127</v>
      </c>
      <c r="L66" s="1">
        <v>46190</v>
      </c>
      <c r="N66" t="s">
        <v>106</v>
      </c>
      <c r="P66">
        <v>64</v>
      </c>
      <c r="Q66" t="s">
        <v>99</v>
      </c>
      <c r="R66" t="s">
        <v>75</v>
      </c>
      <c r="S66" t="s">
        <v>55</v>
      </c>
      <c r="T66" t="s">
        <v>56</v>
      </c>
      <c r="U66" t="s">
        <v>232</v>
      </c>
      <c r="V66" t="s">
        <v>101</v>
      </c>
      <c r="W66" t="s">
        <v>102</v>
      </c>
      <c r="X66">
        <v>1800000</v>
      </c>
      <c r="Y66">
        <v>2196000</v>
      </c>
      <c r="Z66" t="s">
        <v>56</v>
      </c>
      <c r="AA66" t="s">
        <v>129</v>
      </c>
      <c r="AB66" t="s">
        <v>88</v>
      </c>
      <c r="AC66" t="s">
        <v>83</v>
      </c>
      <c r="AD66" t="s">
        <v>118</v>
      </c>
      <c r="AE66">
        <v>0</v>
      </c>
      <c r="AG66">
        <v>0</v>
      </c>
      <c r="AH66" t="b">
        <v>1</v>
      </c>
      <c r="AI66" t="b">
        <v>0</v>
      </c>
      <c r="AL66" t="b">
        <v>0</v>
      </c>
      <c r="AM66" t="b">
        <v>0</v>
      </c>
      <c r="AN66">
        <v>0</v>
      </c>
      <c r="AO66">
        <v>0</v>
      </c>
      <c r="AP66">
        <v>0</v>
      </c>
      <c r="AQ66">
        <v>0</v>
      </c>
      <c r="AR66">
        <v>0</v>
      </c>
      <c r="AS66">
        <v>0</v>
      </c>
      <c r="AT66">
        <v>0</v>
      </c>
      <c r="AU66">
        <v>0</v>
      </c>
    </row>
    <row r="67" spans="1:47" x14ac:dyDescent="0.3">
      <c r="A67" s="1">
        <v>46047</v>
      </c>
      <c r="B67" t="s">
        <v>145</v>
      </c>
      <c r="C67">
        <v>2</v>
      </c>
      <c r="D67" t="s">
        <v>104</v>
      </c>
      <c r="E67" t="s">
        <v>206</v>
      </c>
      <c r="F67" t="s">
        <v>50</v>
      </c>
      <c r="G67">
        <v>35</v>
      </c>
      <c r="H67">
        <v>32</v>
      </c>
      <c r="I67">
        <v>648000</v>
      </c>
      <c r="J67">
        <v>0</v>
      </c>
      <c r="K67" t="s">
        <v>51</v>
      </c>
      <c r="L67" s="1">
        <v>46052</v>
      </c>
      <c r="M67" s="1">
        <v>46055</v>
      </c>
      <c r="N67" t="s">
        <v>106</v>
      </c>
      <c r="P67">
        <v>65</v>
      </c>
      <c r="Q67" t="s">
        <v>107</v>
      </c>
      <c r="R67" t="s">
        <v>83</v>
      </c>
      <c r="S67" t="s">
        <v>55</v>
      </c>
      <c r="T67" t="s">
        <v>56</v>
      </c>
      <c r="U67" t="s">
        <v>207</v>
      </c>
      <c r="V67" t="s">
        <v>71</v>
      </c>
      <c r="W67" t="s">
        <v>72</v>
      </c>
      <c r="X67">
        <v>480000</v>
      </c>
      <c r="Y67">
        <v>648000</v>
      </c>
      <c r="Z67" t="s">
        <v>56</v>
      </c>
      <c r="AA67" t="s">
        <v>73</v>
      </c>
      <c r="AB67" t="s">
        <v>61</v>
      </c>
      <c r="AC67" t="s">
        <v>54</v>
      </c>
      <c r="AD67" t="s">
        <v>94</v>
      </c>
      <c r="AE67">
        <v>20736000</v>
      </c>
      <c r="AF67">
        <v>15360000</v>
      </c>
      <c r="AG67">
        <v>5376000</v>
      </c>
      <c r="AH67" t="b">
        <v>1</v>
      </c>
      <c r="AI67" t="b">
        <v>1</v>
      </c>
      <c r="AJ67">
        <v>0</v>
      </c>
      <c r="AK67">
        <v>3</v>
      </c>
      <c r="AL67" t="b">
        <v>1</v>
      </c>
      <c r="AM67" t="b">
        <v>0</v>
      </c>
      <c r="AN67">
        <v>20736000</v>
      </c>
      <c r="AO67">
        <v>5376000</v>
      </c>
      <c r="AP67">
        <v>32</v>
      </c>
      <c r="AQ67">
        <v>35</v>
      </c>
      <c r="AR67">
        <v>0</v>
      </c>
      <c r="AS67">
        <v>1</v>
      </c>
      <c r="AT67">
        <v>0</v>
      </c>
      <c r="AU67">
        <v>5376000</v>
      </c>
    </row>
    <row r="68" spans="1:47" x14ac:dyDescent="0.3">
      <c r="A68" s="1">
        <v>46148</v>
      </c>
      <c r="B68" t="s">
        <v>286</v>
      </c>
      <c r="C68">
        <v>3</v>
      </c>
      <c r="D68" t="s">
        <v>90</v>
      </c>
      <c r="E68" t="s">
        <v>242</v>
      </c>
      <c r="F68" t="s">
        <v>80</v>
      </c>
      <c r="G68">
        <v>29</v>
      </c>
      <c r="H68">
        <v>29</v>
      </c>
      <c r="I68">
        <v>1620000</v>
      </c>
      <c r="J68">
        <v>0</v>
      </c>
      <c r="K68" t="s">
        <v>51</v>
      </c>
      <c r="L68" s="1">
        <v>46158</v>
      </c>
      <c r="M68" s="1">
        <v>46158</v>
      </c>
      <c r="N68" t="s">
        <v>52</v>
      </c>
      <c r="P68">
        <v>66</v>
      </c>
      <c r="Q68" t="s">
        <v>92</v>
      </c>
      <c r="R68" t="s">
        <v>75</v>
      </c>
      <c r="S68" t="s">
        <v>84</v>
      </c>
      <c r="T68" t="s">
        <v>56</v>
      </c>
      <c r="U68" t="s">
        <v>243</v>
      </c>
      <c r="V68" t="s">
        <v>71</v>
      </c>
      <c r="W68" t="s">
        <v>72</v>
      </c>
      <c r="X68">
        <v>1200000</v>
      </c>
      <c r="Y68">
        <v>1620000</v>
      </c>
      <c r="Z68" t="s">
        <v>56</v>
      </c>
      <c r="AA68" t="s">
        <v>73</v>
      </c>
      <c r="AB68" t="s">
        <v>88</v>
      </c>
      <c r="AC68" t="s">
        <v>83</v>
      </c>
      <c r="AD68" t="s">
        <v>76</v>
      </c>
      <c r="AE68">
        <v>46980000</v>
      </c>
      <c r="AF68">
        <v>34800000</v>
      </c>
      <c r="AG68">
        <v>12180000</v>
      </c>
      <c r="AH68" t="b">
        <v>1</v>
      </c>
      <c r="AI68" t="b">
        <v>1</v>
      </c>
      <c r="AJ68">
        <v>1</v>
      </c>
      <c r="AK68">
        <v>0</v>
      </c>
      <c r="AL68" t="b">
        <v>1</v>
      </c>
      <c r="AM68" t="b">
        <v>0</v>
      </c>
      <c r="AN68">
        <v>46980000</v>
      </c>
      <c r="AO68">
        <v>12180000</v>
      </c>
      <c r="AP68">
        <v>29</v>
      </c>
      <c r="AQ68">
        <v>29</v>
      </c>
      <c r="AR68">
        <v>1</v>
      </c>
      <c r="AS68">
        <v>1</v>
      </c>
      <c r="AT68">
        <v>0</v>
      </c>
      <c r="AU68">
        <v>12180000</v>
      </c>
    </row>
    <row r="69" spans="1:47" x14ac:dyDescent="0.3">
      <c r="A69" s="1">
        <v>46038</v>
      </c>
      <c r="B69" t="s">
        <v>287</v>
      </c>
      <c r="C69">
        <v>3</v>
      </c>
      <c r="D69" t="s">
        <v>288</v>
      </c>
      <c r="E69" t="s">
        <v>230</v>
      </c>
      <c r="F69" t="s">
        <v>66</v>
      </c>
      <c r="G69">
        <v>6</v>
      </c>
      <c r="H69">
        <v>3</v>
      </c>
      <c r="I69">
        <v>2196000</v>
      </c>
      <c r="J69">
        <v>0.08</v>
      </c>
      <c r="K69" t="s">
        <v>51</v>
      </c>
      <c r="L69" s="1">
        <v>46039</v>
      </c>
      <c r="M69" s="1">
        <v>46038</v>
      </c>
      <c r="N69" t="s">
        <v>52</v>
      </c>
      <c r="P69">
        <v>67</v>
      </c>
      <c r="Q69" t="s">
        <v>289</v>
      </c>
      <c r="R69" t="s">
        <v>83</v>
      </c>
      <c r="S69" t="s">
        <v>69</v>
      </c>
      <c r="T69" t="s">
        <v>56</v>
      </c>
      <c r="U69" t="s">
        <v>232</v>
      </c>
      <c r="V69" t="s">
        <v>101</v>
      </c>
      <c r="W69" t="s">
        <v>102</v>
      </c>
      <c r="X69">
        <v>1800000</v>
      </c>
      <c r="Y69">
        <v>2196000</v>
      </c>
      <c r="Z69" t="s">
        <v>56</v>
      </c>
      <c r="AA69" t="s">
        <v>129</v>
      </c>
      <c r="AB69" t="s">
        <v>74</v>
      </c>
      <c r="AC69" t="s">
        <v>75</v>
      </c>
      <c r="AD69" t="s">
        <v>94</v>
      </c>
      <c r="AE69">
        <v>6060960</v>
      </c>
      <c r="AF69">
        <v>5400000</v>
      </c>
      <c r="AG69">
        <v>660960</v>
      </c>
      <c r="AH69" t="b">
        <v>1</v>
      </c>
      <c r="AI69" t="b">
        <v>1</v>
      </c>
      <c r="AJ69">
        <v>1</v>
      </c>
      <c r="AK69">
        <v>-1</v>
      </c>
      <c r="AL69" t="b">
        <v>1</v>
      </c>
      <c r="AM69" t="b">
        <v>0</v>
      </c>
      <c r="AN69">
        <v>6060960</v>
      </c>
      <c r="AO69">
        <v>660960</v>
      </c>
      <c r="AP69">
        <v>3</v>
      </c>
      <c r="AQ69">
        <v>6</v>
      </c>
      <c r="AR69">
        <v>1</v>
      </c>
      <c r="AS69">
        <v>1</v>
      </c>
      <c r="AT69">
        <v>0</v>
      </c>
      <c r="AU69">
        <v>660960</v>
      </c>
    </row>
    <row r="70" spans="1:47" x14ac:dyDescent="0.3">
      <c r="A70" s="1">
        <v>46085</v>
      </c>
      <c r="B70" t="s">
        <v>290</v>
      </c>
      <c r="C70">
        <v>2</v>
      </c>
      <c r="D70" t="s">
        <v>166</v>
      </c>
      <c r="E70" t="s">
        <v>156</v>
      </c>
      <c r="F70" t="s">
        <v>80</v>
      </c>
      <c r="G70">
        <v>14</v>
      </c>
      <c r="H70">
        <v>3</v>
      </c>
      <c r="I70">
        <v>243000</v>
      </c>
      <c r="J70">
        <v>0.02</v>
      </c>
      <c r="K70" t="s">
        <v>98</v>
      </c>
      <c r="L70" s="1">
        <v>46087</v>
      </c>
      <c r="N70" t="s">
        <v>106</v>
      </c>
      <c r="P70">
        <v>68</v>
      </c>
      <c r="Q70" t="s">
        <v>168</v>
      </c>
      <c r="R70" t="s">
        <v>54</v>
      </c>
      <c r="S70" t="s">
        <v>123</v>
      </c>
      <c r="T70" t="s">
        <v>56</v>
      </c>
      <c r="U70" t="s">
        <v>157</v>
      </c>
      <c r="V70" t="s">
        <v>71</v>
      </c>
      <c r="W70" t="s">
        <v>72</v>
      </c>
      <c r="X70">
        <v>180000</v>
      </c>
      <c r="Y70">
        <v>243000</v>
      </c>
      <c r="Z70" t="s">
        <v>56</v>
      </c>
      <c r="AA70" t="s">
        <v>73</v>
      </c>
      <c r="AB70" t="s">
        <v>88</v>
      </c>
      <c r="AC70" t="s">
        <v>83</v>
      </c>
      <c r="AD70" t="s">
        <v>62</v>
      </c>
      <c r="AE70">
        <v>714420</v>
      </c>
      <c r="AF70">
        <v>540000</v>
      </c>
      <c r="AG70">
        <v>174420</v>
      </c>
      <c r="AH70" t="b">
        <v>1</v>
      </c>
      <c r="AI70" t="b">
        <v>0</v>
      </c>
      <c r="AL70" t="b">
        <v>1</v>
      </c>
      <c r="AM70" t="b">
        <v>0</v>
      </c>
      <c r="AN70">
        <v>714420</v>
      </c>
      <c r="AO70">
        <v>174420</v>
      </c>
      <c r="AP70">
        <v>3</v>
      </c>
      <c r="AQ70">
        <v>14</v>
      </c>
      <c r="AR70">
        <v>0</v>
      </c>
      <c r="AS70">
        <v>0</v>
      </c>
      <c r="AT70">
        <v>0</v>
      </c>
      <c r="AU70">
        <v>174420</v>
      </c>
    </row>
    <row r="71" spans="1:47" x14ac:dyDescent="0.3">
      <c r="A71" s="1">
        <v>46093</v>
      </c>
      <c r="B71" t="s">
        <v>291</v>
      </c>
      <c r="C71">
        <v>2</v>
      </c>
      <c r="D71" t="s">
        <v>292</v>
      </c>
      <c r="E71" t="s">
        <v>121</v>
      </c>
      <c r="F71" t="s">
        <v>80</v>
      </c>
      <c r="G71">
        <v>8</v>
      </c>
      <c r="H71">
        <v>8</v>
      </c>
      <c r="I71">
        <v>225000</v>
      </c>
      <c r="J71">
        <v>0</v>
      </c>
      <c r="K71" t="s">
        <v>51</v>
      </c>
      <c r="L71" s="1">
        <v>46096</v>
      </c>
      <c r="M71" s="1">
        <v>46103</v>
      </c>
      <c r="N71" t="s">
        <v>81</v>
      </c>
      <c r="P71">
        <v>69</v>
      </c>
      <c r="Q71" t="s">
        <v>293</v>
      </c>
      <c r="R71" t="s">
        <v>83</v>
      </c>
      <c r="S71" t="s">
        <v>69</v>
      </c>
      <c r="T71" t="s">
        <v>56</v>
      </c>
      <c r="U71" t="s">
        <v>124</v>
      </c>
      <c r="V71" t="s">
        <v>86</v>
      </c>
      <c r="W71" t="s">
        <v>87</v>
      </c>
      <c r="X71">
        <v>180000</v>
      </c>
      <c r="Y71">
        <v>225000</v>
      </c>
      <c r="Z71" t="s">
        <v>56</v>
      </c>
      <c r="AA71" t="s">
        <v>60</v>
      </c>
      <c r="AB71" t="s">
        <v>88</v>
      </c>
      <c r="AC71" t="s">
        <v>83</v>
      </c>
      <c r="AD71" t="s">
        <v>62</v>
      </c>
      <c r="AE71">
        <v>1800000</v>
      </c>
      <c r="AF71">
        <v>1440000</v>
      </c>
      <c r="AG71">
        <v>360000</v>
      </c>
      <c r="AH71" t="b">
        <v>1</v>
      </c>
      <c r="AI71" t="b">
        <v>1</v>
      </c>
      <c r="AJ71">
        <v>0</v>
      </c>
      <c r="AK71">
        <v>7</v>
      </c>
      <c r="AL71" t="b">
        <v>1</v>
      </c>
      <c r="AM71" t="b">
        <v>0</v>
      </c>
      <c r="AN71">
        <v>1800000</v>
      </c>
      <c r="AO71">
        <v>360000</v>
      </c>
      <c r="AP71">
        <v>8</v>
      </c>
      <c r="AQ71">
        <v>8</v>
      </c>
      <c r="AR71">
        <v>0</v>
      </c>
      <c r="AS71">
        <v>1</v>
      </c>
      <c r="AT71">
        <v>0</v>
      </c>
      <c r="AU71">
        <v>360000</v>
      </c>
    </row>
    <row r="72" spans="1:47" x14ac:dyDescent="0.3">
      <c r="A72" s="1">
        <v>46173</v>
      </c>
      <c r="B72" t="s">
        <v>294</v>
      </c>
      <c r="C72">
        <v>1</v>
      </c>
      <c r="D72" t="s">
        <v>269</v>
      </c>
      <c r="E72" t="s">
        <v>121</v>
      </c>
      <c r="F72" t="s">
        <v>114</v>
      </c>
      <c r="G72">
        <v>9</v>
      </c>
      <c r="H72">
        <v>8</v>
      </c>
      <c r="I72">
        <v>225000</v>
      </c>
      <c r="J72">
        <v>0</v>
      </c>
      <c r="K72" t="s">
        <v>98</v>
      </c>
      <c r="L72" s="1">
        <v>46183</v>
      </c>
      <c r="N72" t="s">
        <v>106</v>
      </c>
      <c r="P72">
        <v>70</v>
      </c>
      <c r="Q72" t="s">
        <v>270</v>
      </c>
      <c r="R72" t="s">
        <v>83</v>
      </c>
      <c r="S72" t="s">
        <v>55</v>
      </c>
      <c r="T72" t="s">
        <v>56</v>
      </c>
      <c r="U72" t="s">
        <v>124</v>
      </c>
      <c r="V72" t="s">
        <v>86</v>
      </c>
      <c r="W72" t="s">
        <v>87</v>
      </c>
      <c r="X72">
        <v>180000</v>
      </c>
      <c r="Y72">
        <v>225000</v>
      </c>
      <c r="Z72" t="s">
        <v>56</v>
      </c>
      <c r="AA72" t="s">
        <v>60</v>
      </c>
      <c r="AB72" t="s">
        <v>117</v>
      </c>
      <c r="AC72" t="s">
        <v>83</v>
      </c>
      <c r="AD72" t="s">
        <v>76</v>
      </c>
      <c r="AE72">
        <v>1800000</v>
      </c>
      <c r="AF72">
        <v>1440000</v>
      </c>
      <c r="AG72">
        <v>360000</v>
      </c>
      <c r="AH72" t="b">
        <v>1</v>
      </c>
      <c r="AI72" t="b">
        <v>0</v>
      </c>
      <c r="AL72" t="b">
        <v>1</v>
      </c>
      <c r="AM72" t="b">
        <v>0</v>
      </c>
      <c r="AN72">
        <v>1800000</v>
      </c>
      <c r="AO72">
        <v>360000</v>
      </c>
      <c r="AP72">
        <v>8</v>
      </c>
      <c r="AQ72">
        <v>9</v>
      </c>
      <c r="AR72">
        <v>0</v>
      </c>
      <c r="AS72">
        <v>0</v>
      </c>
      <c r="AT72">
        <v>0</v>
      </c>
      <c r="AU72">
        <v>360000</v>
      </c>
    </row>
    <row r="73" spans="1:47" x14ac:dyDescent="0.3">
      <c r="A73" s="1">
        <v>46144</v>
      </c>
      <c r="B73" t="s">
        <v>295</v>
      </c>
      <c r="C73">
        <v>3</v>
      </c>
      <c r="D73" t="s">
        <v>254</v>
      </c>
      <c r="E73" t="s">
        <v>236</v>
      </c>
      <c r="F73" t="s">
        <v>66</v>
      </c>
      <c r="G73">
        <v>33</v>
      </c>
      <c r="H73">
        <v>33</v>
      </c>
      <c r="I73">
        <v>448000</v>
      </c>
      <c r="J73">
        <v>0.1</v>
      </c>
      <c r="K73" t="s">
        <v>51</v>
      </c>
      <c r="L73" s="1">
        <v>46154</v>
      </c>
      <c r="M73" s="1">
        <v>46156</v>
      </c>
      <c r="N73" t="s">
        <v>52</v>
      </c>
      <c r="P73">
        <v>71</v>
      </c>
      <c r="Q73" t="s">
        <v>256</v>
      </c>
      <c r="R73" t="s">
        <v>83</v>
      </c>
      <c r="S73" t="s">
        <v>69</v>
      </c>
      <c r="T73" t="s">
        <v>56</v>
      </c>
      <c r="U73" t="s">
        <v>237</v>
      </c>
      <c r="V73" t="s">
        <v>138</v>
      </c>
      <c r="W73" t="s">
        <v>139</v>
      </c>
      <c r="X73">
        <v>350000</v>
      </c>
      <c r="Y73">
        <v>448000</v>
      </c>
      <c r="Z73" t="s">
        <v>134</v>
      </c>
      <c r="AA73" t="s">
        <v>73</v>
      </c>
      <c r="AB73" t="s">
        <v>74</v>
      </c>
      <c r="AC73" t="s">
        <v>75</v>
      </c>
      <c r="AD73" t="s">
        <v>76</v>
      </c>
      <c r="AE73">
        <v>13305600</v>
      </c>
      <c r="AF73">
        <v>11550000</v>
      </c>
      <c r="AG73">
        <v>1755600</v>
      </c>
      <c r="AH73" t="b">
        <v>1</v>
      </c>
      <c r="AI73" t="b">
        <v>1</v>
      </c>
      <c r="AJ73">
        <v>0</v>
      </c>
      <c r="AK73">
        <v>2</v>
      </c>
      <c r="AL73" t="b">
        <v>1</v>
      </c>
      <c r="AM73" t="b">
        <v>0</v>
      </c>
      <c r="AN73">
        <v>13305600</v>
      </c>
      <c r="AO73">
        <v>1755600</v>
      </c>
      <c r="AP73">
        <v>33</v>
      </c>
      <c r="AQ73">
        <v>33</v>
      </c>
      <c r="AR73">
        <v>0</v>
      </c>
      <c r="AS73">
        <v>1</v>
      </c>
      <c r="AT73">
        <v>0</v>
      </c>
      <c r="AU73">
        <v>1755600</v>
      </c>
    </row>
    <row r="74" spans="1:47" x14ac:dyDescent="0.3">
      <c r="A74" s="1">
        <v>46140</v>
      </c>
      <c r="B74" t="s">
        <v>296</v>
      </c>
      <c r="C74">
        <v>1</v>
      </c>
      <c r="D74" t="s">
        <v>215</v>
      </c>
      <c r="E74" t="s">
        <v>259</v>
      </c>
      <c r="F74" t="s">
        <v>66</v>
      </c>
      <c r="G74">
        <v>7</v>
      </c>
      <c r="H74">
        <v>7</v>
      </c>
      <c r="I74">
        <v>146000</v>
      </c>
      <c r="J74">
        <v>0</v>
      </c>
      <c r="K74" t="s">
        <v>51</v>
      </c>
      <c r="L74" s="1">
        <v>46143</v>
      </c>
      <c r="M74" s="1">
        <v>46145</v>
      </c>
      <c r="N74" t="s">
        <v>81</v>
      </c>
      <c r="P74">
        <v>72</v>
      </c>
      <c r="Q74" t="s">
        <v>217</v>
      </c>
      <c r="R74" t="s">
        <v>54</v>
      </c>
      <c r="S74" t="s">
        <v>69</v>
      </c>
      <c r="T74" t="s">
        <v>218</v>
      </c>
      <c r="U74" t="s">
        <v>260</v>
      </c>
      <c r="V74" t="s">
        <v>101</v>
      </c>
      <c r="W74" t="s">
        <v>102</v>
      </c>
      <c r="X74">
        <v>120000</v>
      </c>
      <c r="Y74">
        <v>146000</v>
      </c>
      <c r="Z74" t="s">
        <v>56</v>
      </c>
      <c r="AA74" t="s">
        <v>129</v>
      </c>
      <c r="AB74" t="s">
        <v>74</v>
      </c>
      <c r="AC74" t="s">
        <v>75</v>
      </c>
      <c r="AD74" t="s">
        <v>130</v>
      </c>
      <c r="AE74">
        <v>1022000</v>
      </c>
      <c r="AF74">
        <v>840000</v>
      </c>
      <c r="AG74">
        <v>182000</v>
      </c>
      <c r="AH74" t="b">
        <v>1</v>
      </c>
      <c r="AI74" t="b">
        <v>1</v>
      </c>
      <c r="AJ74">
        <v>0</v>
      </c>
      <c r="AK74">
        <v>2</v>
      </c>
      <c r="AL74" t="b">
        <v>1</v>
      </c>
      <c r="AM74" t="b">
        <v>0</v>
      </c>
      <c r="AN74">
        <v>1022000</v>
      </c>
      <c r="AO74">
        <v>182000</v>
      </c>
      <c r="AP74">
        <v>7</v>
      </c>
      <c r="AQ74">
        <v>7</v>
      </c>
      <c r="AR74">
        <v>0</v>
      </c>
      <c r="AS74">
        <v>1</v>
      </c>
      <c r="AT74">
        <v>0</v>
      </c>
      <c r="AU74">
        <v>182000</v>
      </c>
    </row>
    <row r="75" spans="1:47" x14ac:dyDescent="0.3">
      <c r="A75" s="1">
        <v>46039</v>
      </c>
      <c r="B75" t="s">
        <v>297</v>
      </c>
      <c r="C75">
        <v>3</v>
      </c>
      <c r="D75" t="s">
        <v>262</v>
      </c>
      <c r="E75" t="s">
        <v>156</v>
      </c>
      <c r="F75" t="s">
        <v>50</v>
      </c>
      <c r="G75">
        <v>-9</v>
      </c>
      <c r="H75">
        <v>-9</v>
      </c>
      <c r="I75">
        <v>243000</v>
      </c>
      <c r="J75">
        <v>0.02</v>
      </c>
      <c r="K75" t="s">
        <v>216</v>
      </c>
      <c r="L75" s="1">
        <v>46044</v>
      </c>
      <c r="M75" s="1">
        <v>46046</v>
      </c>
      <c r="N75" t="s">
        <v>67</v>
      </c>
      <c r="P75">
        <v>73</v>
      </c>
      <c r="Q75" t="s">
        <v>263</v>
      </c>
      <c r="R75" t="s">
        <v>83</v>
      </c>
      <c r="S75" t="s">
        <v>55</v>
      </c>
      <c r="T75" t="s">
        <v>56</v>
      </c>
      <c r="U75" t="s">
        <v>157</v>
      </c>
      <c r="V75" t="s">
        <v>71</v>
      </c>
      <c r="W75" t="s">
        <v>72</v>
      </c>
      <c r="X75">
        <v>180000</v>
      </c>
      <c r="Y75">
        <v>243000</v>
      </c>
      <c r="Z75" t="s">
        <v>56</v>
      </c>
      <c r="AA75" t="s">
        <v>73</v>
      </c>
      <c r="AB75" t="s">
        <v>61</v>
      </c>
      <c r="AC75" t="s">
        <v>54</v>
      </c>
      <c r="AD75" t="s">
        <v>94</v>
      </c>
      <c r="AE75">
        <v>-2143260</v>
      </c>
      <c r="AF75">
        <v>-1620000</v>
      </c>
      <c r="AG75">
        <v>-523260</v>
      </c>
      <c r="AH75" t="b">
        <v>1</v>
      </c>
      <c r="AI75" t="b">
        <v>1</v>
      </c>
      <c r="AJ75">
        <v>0</v>
      </c>
      <c r="AK75">
        <v>2</v>
      </c>
      <c r="AL75" t="b">
        <v>0</v>
      </c>
      <c r="AM75" t="b">
        <v>1</v>
      </c>
      <c r="AN75">
        <v>-2143260</v>
      </c>
      <c r="AO75">
        <v>-523260</v>
      </c>
      <c r="AP75">
        <v>0</v>
      </c>
      <c r="AQ75">
        <v>0</v>
      </c>
      <c r="AR75">
        <v>0</v>
      </c>
      <c r="AS75">
        <v>1</v>
      </c>
      <c r="AT75">
        <v>-2143260</v>
      </c>
      <c r="AU75">
        <v>-523260</v>
      </c>
    </row>
    <row r="76" spans="1:47" x14ac:dyDescent="0.3">
      <c r="A76" s="1">
        <v>46048</v>
      </c>
      <c r="B76" t="s">
        <v>298</v>
      </c>
      <c r="C76">
        <v>2</v>
      </c>
      <c r="D76" t="s">
        <v>174</v>
      </c>
      <c r="E76" t="s">
        <v>160</v>
      </c>
      <c r="F76" t="s">
        <v>80</v>
      </c>
      <c r="G76">
        <v>27</v>
      </c>
      <c r="H76">
        <v>27</v>
      </c>
      <c r="I76">
        <v>1125000</v>
      </c>
      <c r="J76">
        <v>0.05</v>
      </c>
      <c r="K76" t="s">
        <v>51</v>
      </c>
      <c r="L76" s="1">
        <v>46058</v>
      </c>
      <c r="M76" s="1">
        <v>46057</v>
      </c>
      <c r="N76" t="s">
        <v>52</v>
      </c>
      <c r="P76">
        <v>74</v>
      </c>
      <c r="Q76" t="s">
        <v>176</v>
      </c>
      <c r="R76" t="s">
        <v>83</v>
      </c>
      <c r="S76" t="s">
        <v>69</v>
      </c>
      <c r="T76" t="s">
        <v>56</v>
      </c>
      <c r="U76" t="s">
        <v>161</v>
      </c>
      <c r="V76" t="s">
        <v>86</v>
      </c>
      <c r="W76" t="s">
        <v>87</v>
      </c>
      <c r="X76">
        <v>900000</v>
      </c>
      <c r="Y76">
        <v>1125000</v>
      </c>
      <c r="Z76" t="s">
        <v>56</v>
      </c>
      <c r="AA76" t="s">
        <v>60</v>
      </c>
      <c r="AB76" t="s">
        <v>88</v>
      </c>
      <c r="AC76" t="s">
        <v>83</v>
      </c>
      <c r="AD76" t="s">
        <v>94</v>
      </c>
      <c r="AE76">
        <v>28856250</v>
      </c>
      <c r="AF76">
        <v>24300000</v>
      </c>
      <c r="AG76">
        <v>4556250</v>
      </c>
      <c r="AH76" t="b">
        <v>1</v>
      </c>
      <c r="AI76" t="b">
        <v>1</v>
      </c>
      <c r="AJ76">
        <v>1</v>
      </c>
      <c r="AK76">
        <v>-1</v>
      </c>
      <c r="AL76" t="b">
        <v>1</v>
      </c>
      <c r="AM76" t="b">
        <v>0</v>
      </c>
      <c r="AN76">
        <v>28856250</v>
      </c>
      <c r="AO76">
        <v>4556250</v>
      </c>
      <c r="AP76">
        <v>27</v>
      </c>
      <c r="AQ76">
        <v>27</v>
      </c>
      <c r="AR76">
        <v>1</v>
      </c>
      <c r="AS76">
        <v>1</v>
      </c>
      <c r="AT76">
        <v>0</v>
      </c>
      <c r="AU76">
        <v>4556250</v>
      </c>
    </row>
    <row r="77" spans="1:47" x14ac:dyDescent="0.3">
      <c r="A77" s="1">
        <v>46132</v>
      </c>
      <c r="B77" t="s">
        <v>299</v>
      </c>
      <c r="C77">
        <v>3</v>
      </c>
      <c r="D77" t="s">
        <v>300</v>
      </c>
      <c r="E77" t="s">
        <v>49</v>
      </c>
      <c r="F77" t="s">
        <v>66</v>
      </c>
      <c r="G77">
        <v>5</v>
      </c>
      <c r="H77">
        <v>5</v>
      </c>
      <c r="I77">
        <v>1170000</v>
      </c>
      <c r="J77">
        <v>0.05</v>
      </c>
      <c r="K77" t="s">
        <v>51</v>
      </c>
      <c r="L77" s="1">
        <v>46133</v>
      </c>
      <c r="M77" s="1">
        <v>46136</v>
      </c>
      <c r="N77" t="s">
        <v>52</v>
      </c>
      <c r="P77">
        <v>75</v>
      </c>
      <c r="Q77" t="s">
        <v>301</v>
      </c>
      <c r="R77" t="s">
        <v>83</v>
      </c>
      <c r="S77" t="s">
        <v>123</v>
      </c>
      <c r="T77" t="s">
        <v>56</v>
      </c>
      <c r="U77" t="s">
        <v>57</v>
      </c>
      <c r="V77" t="s">
        <v>58</v>
      </c>
      <c r="W77" t="s">
        <v>59</v>
      </c>
      <c r="X77">
        <v>900000</v>
      </c>
      <c r="Y77">
        <v>1170000</v>
      </c>
      <c r="Z77" t="s">
        <v>56</v>
      </c>
      <c r="AA77" t="s">
        <v>60</v>
      </c>
      <c r="AB77" t="s">
        <v>74</v>
      </c>
      <c r="AC77" t="s">
        <v>75</v>
      </c>
      <c r="AD77" t="s">
        <v>130</v>
      </c>
      <c r="AE77">
        <v>5557500</v>
      </c>
      <c r="AF77">
        <v>4500000</v>
      </c>
      <c r="AG77">
        <v>1057500</v>
      </c>
      <c r="AH77" t="b">
        <v>1</v>
      </c>
      <c r="AI77" t="b">
        <v>1</v>
      </c>
      <c r="AJ77">
        <v>0</v>
      </c>
      <c r="AK77">
        <v>3</v>
      </c>
      <c r="AL77" t="b">
        <v>1</v>
      </c>
      <c r="AM77" t="b">
        <v>0</v>
      </c>
      <c r="AN77">
        <v>5557500</v>
      </c>
      <c r="AO77">
        <v>1057500</v>
      </c>
      <c r="AP77">
        <v>5</v>
      </c>
      <c r="AQ77">
        <v>5</v>
      </c>
      <c r="AR77">
        <v>0</v>
      </c>
      <c r="AS77">
        <v>1</v>
      </c>
      <c r="AT77">
        <v>0</v>
      </c>
      <c r="AU77">
        <v>1057500</v>
      </c>
    </row>
    <row r="78" spans="1:47" x14ac:dyDescent="0.3">
      <c r="A78" s="1">
        <v>46056</v>
      </c>
      <c r="B78" t="s">
        <v>302</v>
      </c>
      <c r="C78">
        <v>1</v>
      </c>
      <c r="D78" t="s">
        <v>120</v>
      </c>
      <c r="E78" t="s">
        <v>156</v>
      </c>
      <c r="F78" t="s">
        <v>50</v>
      </c>
      <c r="G78">
        <v>8</v>
      </c>
      <c r="H78">
        <v>8</v>
      </c>
      <c r="I78">
        <v>243000</v>
      </c>
      <c r="J78">
        <v>0.1</v>
      </c>
      <c r="K78" t="s">
        <v>51</v>
      </c>
      <c r="L78" s="1">
        <v>46057</v>
      </c>
      <c r="M78" s="1">
        <v>46057</v>
      </c>
      <c r="N78" t="s">
        <v>52</v>
      </c>
      <c r="P78">
        <v>76</v>
      </c>
      <c r="Q78" t="s">
        <v>122</v>
      </c>
      <c r="R78" t="s">
        <v>54</v>
      </c>
      <c r="S78" t="s">
        <v>123</v>
      </c>
      <c r="T78" t="s">
        <v>56</v>
      </c>
      <c r="U78" t="s">
        <v>157</v>
      </c>
      <c r="V78" t="s">
        <v>71</v>
      </c>
      <c r="W78" t="s">
        <v>72</v>
      </c>
      <c r="X78">
        <v>180000</v>
      </c>
      <c r="Y78">
        <v>243000</v>
      </c>
      <c r="Z78" t="s">
        <v>56</v>
      </c>
      <c r="AA78" t="s">
        <v>73</v>
      </c>
      <c r="AB78" t="s">
        <v>61</v>
      </c>
      <c r="AC78" t="s">
        <v>54</v>
      </c>
      <c r="AD78" t="s">
        <v>158</v>
      </c>
      <c r="AE78">
        <v>1749600</v>
      </c>
      <c r="AF78">
        <v>1440000</v>
      </c>
      <c r="AG78">
        <v>309600</v>
      </c>
      <c r="AH78" t="b">
        <v>1</v>
      </c>
      <c r="AI78" t="b">
        <v>1</v>
      </c>
      <c r="AJ78">
        <v>1</v>
      </c>
      <c r="AK78">
        <v>0</v>
      </c>
      <c r="AL78" t="b">
        <v>1</v>
      </c>
      <c r="AM78" t="b">
        <v>0</v>
      </c>
      <c r="AN78">
        <v>1749600</v>
      </c>
      <c r="AO78">
        <v>309600</v>
      </c>
      <c r="AP78">
        <v>8</v>
      </c>
      <c r="AQ78">
        <v>8</v>
      </c>
      <c r="AR78">
        <v>1</v>
      </c>
      <c r="AS78">
        <v>1</v>
      </c>
      <c r="AT78">
        <v>0</v>
      </c>
      <c r="AU78">
        <v>309600</v>
      </c>
    </row>
    <row r="79" spans="1:47" x14ac:dyDescent="0.3">
      <c r="A79" s="1">
        <v>46113</v>
      </c>
      <c r="B79" t="s">
        <v>303</v>
      </c>
      <c r="C79">
        <v>2</v>
      </c>
      <c r="D79" t="s">
        <v>250</v>
      </c>
      <c r="E79" t="s">
        <v>304</v>
      </c>
      <c r="F79" t="s">
        <v>80</v>
      </c>
      <c r="G79">
        <v>7</v>
      </c>
      <c r="H79">
        <v>7</v>
      </c>
      <c r="I79">
        <v>2304000</v>
      </c>
      <c r="J79">
        <v>0</v>
      </c>
      <c r="K79" t="s">
        <v>51</v>
      </c>
      <c r="L79" s="1">
        <v>46116</v>
      </c>
      <c r="M79" s="1">
        <v>46118</v>
      </c>
      <c r="N79" t="s">
        <v>81</v>
      </c>
      <c r="O79" t="s">
        <v>305</v>
      </c>
      <c r="P79">
        <v>77</v>
      </c>
      <c r="Q79" t="s">
        <v>251</v>
      </c>
      <c r="R79" t="s">
        <v>54</v>
      </c>
      <c r="S79" t="s">
        <v>123</v>
      </c>
      <c r="T79" t="s">
        <v>56</v>
      </c>
      <c r="W79" t="s">
        <v>267</v>
      </c>
      <c r="AB79" t="s">
        <v>88</v>
      </c>
      <c r="AC79" t="s">
        <v>83</v>
      </c>
      <c r="AD79" t="s">
        <v>130</v>
      </c>
      <c r="AE79">
        <v>16128000</v>
      </c>
      <c r="AG79">
        <v>16128000</v>
      </c>
      <c r="AH79" t="b">
        <v>0</v>
      </c>
      <c r="AI79" t="b">
        <v>1</v>
      </c>
      <c r="AJ79">
        <v>0</v>
      </c>
      <c r="AK79">
        <v>2</v>
      </c>
      <c r="AL79" t="b">
        <v>1</v>
      </c>
      <c r="AM79" t="b">
        <v>0</v>
      </c>
      <c r="AN79">
        <v>0</v>
      </c>
      <c r="AO79">
        <v>0</v>
      </c>
      <c r="AP79">
        <v>7</v>
      </c>
      <c r="AQ79">
        <v>7</v>
      </c>
      <c r="AR79">
        <v>0</v>
      </c>
      <c r="AS79">
        <v>1</v>
      </c>
      <c r="AT79">
        <v>0</v>
      </c>
      <c r="AU79">
        <v>0</v>
      </c>
    </row>
    <row r="80" spans="1:47" x14ac:dyDescent="0.3">
      <c r="A80" s="1">
        <v>46132</v>
      </c>
      <c r="B80" t="s">
        <v>306</v>
      </c>
      <c r="C80">
        <v>1</v>
      </c>
      <c r="D80" t="s">
        <v>307</v>
      </c>
      <c r="E80" t="s">
        <v>113</v>
      </c>
      <c r="F80" t="s">
        <v>114</v>
      </c>
      <c r="G80">
        <v>12</v>
      </c>
      <c r="H80">
        <v>12</v>
      </c>
      <c r="I80">
        <v>648000</v>
      </c>
      <c r="J80">
        <v>0.02</v>
      </c>
      <c r="K80" t="s">
        <v>51</v>
      </c>
      <c r="L80" s="1">
        <v>46133</v>
      </c>
      <c r="M80" s="1">
        <v>46133</v>
      </c>
      <c r="N80" t="s">
        <v>81</v>
      </c>
      <c r="P80">
        <v>78</v>
      </c>
      <c r="Q80" t="s">
        <v>308</v>
      </c>
      <c r="R80" t="s">
        <v>75</v>
      </c>
      <c r="S80" t="s">
        <v>123</v>
      </c>
      <c r="T80" t="s">
        <v>56</v>
      </c>
      <c r="U80" t="s">
        <v>116</v>
      </c>
      <c r="V80" t="s">
        <v>71</v>
      </c>
      <c r="W80" t="s">
        <v>72</v>
      </c>
      <c r="X80">
        <v>480000</v>
      </c>
      <c r="Y80">
        <v>648000</v>
      </c>
      <c r="Z80" t="s">
        <v>56</v>
      </c>
      <c r="AA80" t="s">
        <v>60</v>
      </c>
      <c r="AB80" t="s">
        <v>117</v>
      </c>
      <c r="AC80" t="s">
        <v>83</v>
      </c>
      <c r="AD80" t="s">
        <v>130</v>
      </c>
      <c r="AE80">
        <v>7620480</v>
      </c>
      <c r="AF80">
        <v>5760000</v>
      </c>
      <c r="AG80">
        <v>1860480</v>
      </c>
      <c r="AH80" t="b">
        <v>1</v>
      </c>
      <c r="AI80" t="b">
        <v>1</v>
      </c>
      <c r="AJ80">
        <v>1</v>
      </c>
      <c r="AK80">
        <v>0</v>
      </c>
      <c r="AL80" t="b">
        <v>1</v>
      </c>
      <c r="AM80" t="b">
        <v>0</v>
      </c>
      <c r="AN80">
        <v>7620480</v>
      </c>
      <c r="AO80">
        <v>1860480</v>
      </c>
      <c r="AP80">
        <v>12</v>
      </c>
      <c r="AQ80">
        <v>12</v>
      </c>
      <c r="AR80">
        <v>1</v>
      </c>
      <c r="AS80">
        <v>1</v>
      </c>
      <c r="AT80">
        <v>0</v>
      </c>
      <c r="AU80">
        <v>1860480</v>
      </c>
    </row>
    <row r="81" spans="1:47" x14ac:dyDescent="0.3">
      <c r="A81" s="1">
        <v>46167</v>
      </c>
      <c r="B81" t="s">
        <v>309</v>
      </c>
      <c r="C81">
        <v>1</v>
      </c>
      <c r="D81" t="s">
        <v>250</v>
      </c>
      <c r="E81" t="s">
        <v>97</v>
      </c>
      <c r="F81" t="s">
        <v>114</v>
      </c>
      <c r="G81">
        <v>34</v>
      </c>
      <c r="H81">
        <v>34</v>
      </c>
      <c r="I81">
        <v>427000</v>
      </c>
      <c r="J81">
        <v>0.02</v>
      </c>
      <c r="K81" t="s">
        <v>51</v>
      </c>
      <c r="L81" s="1">
        <v>46169</v>
      </c>
      <c r="M81" s="1">
        <v>46169</v>
      </c>
      <c r="N81" t="s">
        <v>52</v>
      </c>
      <c r="P81">
        <v>79</v>
      </c>
      <c r="Q81" t="s">
        <v>251</v>
      </c>
      <c r="R81" t="s">
        <v>54</v>
      </c>
      <c r="S81" t="s">
        <v>123</v>
      </c>
      <c r="T81" t="s">
        <v>56</v>
      </c>
      <c r="U81" t="s">
        <v>100</v>
      </c>
      <c r="V81" t="s">
        <v>101</v>
      </c>
      <c r="W81" t="s">
        <v>102</v>
      </c>
      <c r="X81">
        <v>350000</v>
      </c>
      <c r="Y81">
        <v>427000</v>
      </c>
      <c r="Z81" t="s">
        <v>56</v>
      </c>
      <c r="AA81" t="s">
        <v>73</v>
      </c>
      <c r="AB81" t="s">
        <v>117</v>
      </c>
      <c r="AC81" t="s">
        <v>83</v>
      </c>
      <c r="AD81" t="s">
        <v>76</v>
      </c>
      <c r="AE81">
        <v>14227640</v>
      </c>
      <c r="AF81">
        <v>11900000</v>
      </c>
      <c r="AG81">
        <v>2327640</v>
      </c>
      <c r="AH81" t="b">
        <v>1</v>
      </c>
      <c r="AI81" t="b">
        <v>1</v>
      </c>
      <c r="AJ81">
        <v>1</v>
      </c>
      <c r="AK81">
        <v>0</v>
      </c>
      <c r="AL81" t="b">
        <v>1</v>
      </c>
      <c r="AM81" t="b">
        <v>0</v>
      </c>
      <c r="AN81">
        <v>14227640</v>
      </c>
      <c r="AO81">
        <v>2327640</v>
      </c>
      <c r="AP81">
        <v>34</v>
      </c>
      <c r="AQ81">
        <v>34</v>
      </c>
      <c r="AR81">
        <v>1</v>
      </c>
      <c r="AS81">
        <v>1</v>
      </c>
      <c r="AT81">
        <v>0</v>
      </c>
      <c r="AU81">
        <v>2327640</v>
      </c>
    </row>
    <row r="82" spans="1:47" x14ac:dyDescent="0.3">
      <c r="A82" s="1">
        <v>46106</v>
      </c>
      <c r="B82" t="s">
        <v>310</v>
      </c>
      <c r="C82">
        <v>1</v>
      </c>
      <c r="D82" t="s">
        <v>250</v>
      </c>
      <c r="E82" t="s">
        <v>311</v>
      </c>
      <c r="F82" t="s">
        <v>114</v>
      </c>
      <c r="G82">
        <v>6</v>
      </c>
      <c r="H82">
        <v>6</v>
      </c>
      <c r="I82">
        <v>437000</v>
      </c>
      <c r="J82">
        <v>0.05</v>
      </c>
      <c r="K82" t="s">
        <v>51</v>
      </c>
      <c r="L82" s="1">
        <v>46113</v>
      </c>
      <c r="M82" s="1">
        <v>46114</v>
      </c>
      <c r="N82" t="s">
        <v>67</v>
      </c>
      <c r="P82">
        <v>80</v>
      </c>
      <c r="Q82" t="s">
        <v>251</v>
      </c>
      <c r="R82" t="s">
        <v>54</v>
      </c>
      <c r="S82" t="s">
        <v>123</v>
      </c>
      <c r="T82" t="s">
        <v>56</v>
      </c>
      <c r="U82" t="s">
        <v>312</v>
      </c>
      <c r="V82" t="s">
        <v>86</v>
      </c>
      <c r="W82" t="s">
        <v>87</v>
      </c>
      <c r="X82">
        <v>350000</v>
      </c>
      <c r="Y82">
        <v>437000</v>
      </c>
      <c r="Z82" t="s">
        <v>56</v>
      </c>
      <c r="AA82" t="s">
        <v>60</v>
      </c>
      <c r="AB82" t="s">
        <v>117</v>
      </c>
      <c r="AC82" t="s">
        <v>83</v>
      </c>
      <c r="AD82" t="s">
        <v>62</v>
      </c>
      <c r="AE82">
        <v>2490900</v>
      </c>
      <c r="AF82">
        <v>2100000</v>
      </c>
      <c r="AG82">
        <v>390900</v>
      </c>
      <c r="AH82" t="b">
        <v>1</v>
      </c>
      <c r="AI82" t="b">
        <v>1</v>
      </c>
      <c r="AJ82">
        <v>0</v>
      </c>
      <c r="AK82">
        <v>1</v>
      </c>
      <c r="AL82" t="b">
        <v>1</v>
      </c>
      <c r="AM82" t="b">
        <v>0</v>
      </c>
      <c r="AN82">
        <v>2490900</v>
      </c>
      <c r="AO82">
        <v>390900</v>
      </c>
      <c r="AP82">
        <v>6</v>
      </c>
      <c r="AQ82">
        <v>6</v>
      </c>
      <c r="AR82">
        <v>0</v>
      </c>
      <c r="AS82">
        <v>1</v>
      </c>
      <c r="AT82">
        <v>0</v>
      </c>
      <c r="AU82">
        <v>390900</v>
      </c>
    </row>
    <row r="83" spans="1:47" x14ac:dyDescent="0.3">
      <c r="A83" s="1">
        <v>46092</v>
      </c>
      <c r="B83" t="s">
        <v>313</v>
      </c>
      <c r="C83">
        <v>1</v>
      </c>
      <c r="D83" t="s">
        <v>188</v>
      </c>
      <c r="E83" t="s">
        <v>126</v>
      </c>
      <c r="F83" t="s">
        <v>114</v>
      </c>
      <c r="G83">
        <v>19</v>
      </c>
      <c r="H83">
        <v>19</v>
      </c>
      <c r="I83">
        <v>845000</v>
      </c>
      <c r="J83">
        <v>0.08</v>
      </c>
      <c r="K83" t="s">
        <v>51</v>
      </c>
      <c r="L83" s="1">
        <v>46102</v>
      </c>
      <c r="M83" s="1">
        <v>46102</v>
      </c>
      <c r="N83" t="s">
        <v>106</v>
      </c>
      <c r="P83">
        <v>81</v>
      </c>
      <c r="Q83" t="s">
        <v>190</v>
      </c>
      <c r="R83" t="s">
        <v>83</v>
      </c>
      <c r="S83" t="s">
        <v>123</v>
      </c>
      <c r="T83" t="s">
        <v>56</v>
      </c>
      <c r="U83" t="s">
        <v>128</v>
      </c>
      <c r="V83" t="s">
        <v>58</v>
      </c>
      <c r="W83" t="s">
        <v>59</v>
      </c>
      <c r="X83">
        <v>650000</v>
      </c>
      <c r="Y83">
        <v>845000</v>
      </c>
      <c r="Z83" t="s">
        <v>56</v>
      </c>
      <c r="AA83" t="s">
        <v>129</v>
      </c>
      <c r="AB83" t="s">
        <v>117</v>
      </c>
      <c r="AC83" t="s">
        <v>83</v>
      </c>
      <c r="AD83" t="s">
        <v>62</v>
      </c>
      <c r="AE83">
        <v>14770600</v>
      </c>
      <c r="AF83">
        <v>12350000</v>
      </c>
      <c r="AG83">
        <v>2420600</v>
      </c>
      <c r="AH83" t="b">
        <v>1</v>
      </c>
      <c r="AI83" t="b">
        <v>1</v>
      </c>
      <c r="AJ83">
        <v>1</v>
      </c>
      <c r="AK83">
        <v>0</v>
      </c>
      <c r="AL83" t="b">
        <v>1</v>
      </c>
      <c r="AM83" t="b">
        <v>0</v>
      </c>
      <c r="AN83">
        <v>14770600</v>
      </c>
      <c r="AO83">
        <v>2420600</v>
      </c>
      <c r="AP83">
        <v>19</v>
      </c>
      <c r="AQ83">
        <v>19</v>
      </c>
      <c r="AR83">
        <v>1</v>
      </c>
      <c r="AS83">
        <v>1</v>
      </c>
      <c r="AT83">
        <v>0</v>
      </c>
      <c r="AU83">
        <v>2420600</v>
      </c>
    </row>
    <row r="84" spans="1:47" x14ac:dyDescent="0.3">
      <c r="A84" s="1">
        <v>46079</v>
      </c>
      <c r="B84" t="s">
        <v>314</v>
      </c>
      <c r="C84">
        <v>1</v>
      </c>
      <c r="D84" t="s">
        <v>171</v>
      </c>
      <c r="E84" t="s">
        <v>315</v>
      </c>
      <c r="F84" t="s">
        <v>50</v>
      </c>
      <c r="G84">
        <v>14</v>
      </c>
      <c r="H84">
        <v>12</v>
      </c>
      <c r="I84">
        <v>2196000</v>
      </c>
      <c r="J84">
        <v>0.02</v>
      </c>
      <c r="K84" t="s">
        <v>98</v>
      </c>
      <c r="L84" s="1">
        <v>46082</v>
      </c>
      <c r="N84" t="s">
        <v>52</v>
      </c>
      <c r="P84">
        <v>82</v>
      </c>
      <c r="Q84" t="s">
        <v>172</v>
      </c>
      <c r="R84" t="s">
        <v>54</v>
      </c>
      <c r="S84" t="s">
        <v>84</v>
      </c>
      <c r="T84" t="s">
        <v>56</v>
      </c>
      <c r="U84" t="s">
        <v>316</v>
      </c>
      <c r="V84" t="s">
        <v>101</v>
      </c>
      <c r="W84" t="s">
        <v>102</v>
      </c>
      <c r="X84">
        <v>1800000</v>
      </c>
      <c r="Y84">
        <v>2196000</v>
      </c>
      <c r="Z84" t="s">
        <v>56</v>
      </c>
      <c r="AA84" t="s">
        <v>60</v>
      </c>
      <c r="AB84" t="s">
        <v>61</v>
      </c>
      <c r="AC84" t="s">
        <v>54</v>
      </c>
      <c r="AD84" t="s">
        <v>158</v>
      </c>
      <c r="AE84">
        <v>25824960</v>
      </c>
      <c r="AF84">
        <v>21600000</v>
      </c>
      <c r="AG84">
        <v>4224960</v>
      </c>
      <c r="AH84" t="b">
        <v>1</v>
      </c>
      <c r="AI84" t="b">
        <v>0</v>
      </c>
      <c r="AL84" t="b">
        <v>1</v>
      </c>
      <c r="AM84" t="b">
        <v>0</v>
      </c>
      <c r="AN84">
        <v>25824960</v>
      </c>
      <c r="AO84">
        <v>4224960</v>
      </c>
      <c r="AP84">
        <v>12</v>
      </c>
      <c r="AQ84">
        <v>14</v>
      </c>
      <c r="AR84">
        <v>0</v>
      </c>
      <c r="AS84">
        <v>0</v>
      </c>
      <c r="AT84">
        <v>0</v>
      </c>
      <c r="AU84">
        <v>4224960</v>
      </c>
    </row>
    <row r="85" spans="1:47" x14ac:dyDescent="0.3">
      <c r="A85" s="1">
        <v>46053</v>
      </c>
      <c r="B85" t="s">
        <v>317</v>
      </c>
      <c r="C85">
        <v>4</v>
      </c>
      <c r="D85" t="s">
        <v>174</v>
      </c>
      <c r="E85" t="s">
        <v>197</v>
      </c>
      <c r="F85" t="s">
        <v>80</v>
      </c>
      <c r="G85">
        <v>25</v>
      </c>
      <c r="H85">
        <v>24</v>
      </c>
      <c r="I85">
        <v>1215000</v>
      </c>
      <c r="J85">
        <v>0.08</v>
      </c>
      <c r="K85" t="s">
        <v>51</v>
      </c>
      <c r="L85" s="1">
        <v>46063</v>
      </c>
      <c r="M85" s="1">
        <v>46070</v>
      </c>
      <c r="N85" t="s">
        <v>52</v>
      </c>
      <c r="P85">
        <v>83</v>
      </c>
      <c r="Q85" t="s">
        <v>176</v>
      </c>
      <c r="R85" t="s">
        <v>83</v>
      </c>
      <c r="S85" t="s">
        <v>69</v>
      </c>
      <c r="T85" t="s">
        <v>56</v>
      </c>
      <c r="U85" t="s">
        <v>198</v>
      </c>
      <c r="V85" t="s">
        <v>71</v>
      </c>
      <c r="W85" t="s">
        <v>72</v>
      </c>
      <c r="X85">
        <v>900000</v>
      </c>
      <c r="Y85">
        <v>1215000</v>
      </c>
      <c r="Z85" t="s">
        <v>56</v>
      </c>
      <c r="AA85" t="s">
        <v>129</v>
      </c>
      <c r="AB85" t="s">
        <v>88</v>
      </c>
      <c r="AC85" t="s">
        <v>83</v>
      </c>
      <c r="AD85" t="s">
        <v>94</v>
      </c>
      <c r="AE85">
        <v>26827200</v>
      </c>
      <c r="AF85">
        <v>21600000</v>
      </c>
      <c r="AG85">
        <v>5227200</v>
      </c>
      <c r="AH85" t="b">
        <v>1</v>
      </c>
      <c r="AI85" t="b">
        <v>1</v>
      </c>
      <c r="AJ85">
        <v>0</v>
      </c>
      <c r="AK85">
        <v>7</v>
      </c>
      <c r="AL85" t="b">
        <v>1</v>
      </c>
      <c r="AM85" t="b">
        <v>0</v>
      </c>
      <c r="AN85">
        <v>26827200</v>
      </c>
      <c r="AO85">
        <v>5227200</v>
      </c>
      <c r="AP85">
        <v>24</v>
      </c>
      <c r="AQ85">
        <v>25</v>
      </c>
      <c r="AR85">
        <v>0</v>
      </c>
      <c r="AS85">
        <v>1</v>
      </c>
      <c r="AT85">
        <v>0</v>
      </c>
      <c r="AU85">
        <v>5227200</v>
      </c>
    </row>
    <row r="86" spans="1:47" x14ac:dyDescent="0.3">
      <c r="A86" s="1">
        <v>46041</v>
      </c>
      <c r="B86" t="s">
        <v>287</v>
      </c>
      <c r="C86">
        <v>1</v>
      </c>
      <c r="D86" t="s">
        <v>174</v>
      </c>
      <c r="E86" t="s">
        <v>97</v>
      </c>
      <c r="F86" t="s">
        <v>66</v>
      </c>
      <c r="G86">
        <v>5</v>
      </c>
      <c r="H86">
        <v>0</v>
      </c>
      <c r="I86">
        <v>427000</v>
      </c>
      <c r="J86">
        <v>0.08</v>
      </c>
      <c r="K86" t="s">
        <v>127</v>
      </c>
      <c r="L86" s="1">
        <v>46046</v>
      </c>
      <c r="N86" t="s">
        <v>67</v>
      </c>
      <c r="P86">
        <v>84</v>
      </c>
      <c r="Q86" t="s">
        <v>176</v>
      </c>
      <c r="R86" t="s">
        <v>83</v>
      </c>
      <c r="S86" t="s">
        <v>69</v>
      </c>
      <c r="T86" t="s">
        <v>56</v>
      </c>
      <c r="U86" t="s">
        <v>100</v>
      </c>
      <c r="V86" t="s">
        <v>101</v>
      </c>
      <c r="W86" t="s">
        <v>102</v>
      </c>
      <c r="X86">
        <v>350000</v>
      </c>
      <c r="Y86">
        <v>427000</v>
      </c>
      <c r="Z86" t="s">
        <v>56</v>
      </c>
      <c r="AA86" t="s">
        <v>73</v>
      </c>
      <c r="AB86" t="s">
        <v>74</v>
      </c>
      <c r="AC86" t="s">
        <v>75</v>
      </c>
      <c r="AD86" t="s">
        <v>94</v>
      </c>
      <c r="AE86">
        <v>0</v>
      </c>
      <c r="AG86">
        <v>0</v>
      </c>
      <c r="AH86" t="b">
        <v>1</v>
      </c>
      <c r="AI86" t="b">
        <v>0</v>
      </c>
      <c r="AL86" t="b">
        <v>0</v>
      </c>
      <c r="AM86" t="b">
        <v>0</v>
      </c>
      <c r="AN86">
        <v>0</v>
      </c>
      <c r="AO86">
        <v>0</v>
      </c>
      <c r="AP86">
        <v>0</v>
      </c>
      <c r="AQ86">
        <v>0</v>
      </c>
      <c r="AR86">
        <v>0</v>
      </c>
      <c r="AS86">
        <v>0</v>
      </c>
      <c r="AT86">
        <v>0</v>
      </c>
      <c r="AU86">
        <v>0</v>
      </c>
    </row>
    <row r="87" spans="1:47" x14ac:dyDescent="0.3">
      <c r="A87" s="1">
        <v>46186</v>
      </c>
      <c r="B87" t="s">
        <v>318</v>
      </c>
      <c r="C87">
        <v>3</v>
      </c>
      <c r="D87" t="s">
        <v>78</v>
      </c>
      <c r="E87" t="s">
        <v>259</v>
      </c>
      <c r="F87" t="s">
        <v>114</v>
      </c>
      <c r="G87">
        <v>21</v>
      </c>
      <c r="H87">
        <v>21</v>
      </c>
      <c r="I87">
        <v>146000</v>
      </c>
      <c r="J87">
        <v>0.1</v>
      </c>
      <c r="K87" t="s">
        <v>51</v>
      </c>
      <c r="L87" s="1">
        <v>46189</v>
      </c>
      <c r="M87" s="1">
        <v>46188</v>
      </c>
      <c r="N87" t="s">
        <v>67</v>
      </c>
      <c r="P87">
        <v>85</v>
      </c>
      <c r="Q87" t="s">
        <v>82</v>
      </c>
      <c r="R87" t="s">
        <v>83</v>
      </c>
      <c r="S87" t="s">
        <v>84</v>
      </c>
      <c r="T87" t="s">
        <v>56</v>
      </c>
      <c r="U87" t="s">
        <v>260</v>
      </c>
      <c r="V87" t="s">
        <v>101</v>
      </c>
      <c r="W87" t="s">
        <v>102</v>
      </c>
      <c r="X87">
        <v>120000</v>
      </c>
      <c r="Y87">
        <v>146000</v>
      </c>
      <c r="Z87" t="s">
        <v>56</v>
      </c>
      <c r="AA87" t="s">
        <v>129</v>
      </c>
      <c r="AB87" t="s">
        <v>117</v>
      </c>
      <c r="AC87" t="s">
        <v>83</v>
      </c>
      <c r="AD87" t="s">
        <v>118</v>
      </c>
      <c r="AE87">
        <v>2759400</v>
      </c>
      <c r="AF87">
        <v>2520000</v>
      </c>
      <c r="AG87">
        <v>239400</v>
      </c>
      <c r="AH87" t="b">
        <v>1</v>
      </c>
      <c r="AI87" t="b">
        <v>1</v>
      </c>
      <c r="AJ87">
        <v>1</v>
      </c>
      <c r="AK87">
        <v>-1</v>
      </c>
      <c r="AL87" t="b">
        <v>1</v>
      </c>
      <c r="AM87" t="b">
        <v>0</v>
      </c>
      <c r="AN87">
        <v>2759400</v>
      </c>
      <c r="AO87">
        <v>239400</v>
      </c>
      <c r="AP87">
        <v>21</v>
      </c>
      <c r="AQ87">
        <v>21</v>
      </c>
      <c r="AR87">
        <v>1</v>
      </c>
      <c r="AS87">
        <v>1</v>
      </c>
      <c r="AT87">
        <v>0</v>
      </c>
      <c r="AU87">
        <v>239400</v>
      </c>
    </row>
    <row r="88" spans="1:47" x14ac:dyDescent="0.3">
      <c r="A88" s="1">
        <v>46050</v>
      </c>
      <c r="B88" t="s">
        <v>319</v>
      </c>
      <c r="C88">
        <v>4</v>
      </c>
      <c r="D88" t="s">
        <v>120</v>
      </c>
      <c r="E88" t="s">
        <v>259</v>
      </c>
      <c r="F88" t="s">
        <v>114</v>
      </c>
      <c r="G88">
        <v>26</v>
      </c>
      <c r="H88">
        <v>0</v>
      </c>
      <c r="I88">
        <v>146000</v>
      </c>
      <c r="J88">
        <v>0.1</v>
      </c>
      <c r="K88" t="s">
        <v>127</v>
      </c>
      <c r="L88" s="1">
        <v>46053</v>
      </c>
      <c r="N88" t="s">
        <v>81</v>
      </c>
      <c r="P88">
        <v>86</v>
      </c>
      <c r="Q88" t="s">
        <v>122</v>
      </c>
      <c r="R88" t="s">
        <v>54</v>
      </c>
      <c r="S88" t="s">
        <v>123</v>
      </c>
      <c r="T88" t="s">
        <v>56</v>
      </c>
      <c r="U88" t="s">
        <v>260</v>
      </c>
      <c r="V88" t="s">
        <v>101</v>
      </c>
      <c r="W88" t="s">
        <v>102</v>
      </c>
      <c r="X88">
        <v>120000</v>
      </c>
      <c r="Y88">
        <v>146000</v>
      </c>
      <c r="Z88" t="s">
        <v>56</v>
      </c>
      <c r="AA88" t="s">
        <v>129</v>
      </c>
      <c r="AB88" t="s">
        <v>117</v>
      </c>
      <c r="AC88" t="s">
        <v>83</v>
      </c>
      <c r="AD88" t="s">
        <v>94</v>
      </c>
      <c r="AE88">
        <v>0</v>
      </c>
      <c r="AG88">
        <v>0</v>
      </c>
      <c r="AH88" t="b">
        <v>1</v>
      </c>
      <c r="AI88" t="b">
        <v>0</v>
      </c>
      <c r="AL88" t="b">
        <v>0</v>
      </c>
      <c r="AM88" t="b">
        <v>0</v>
      </c>
      <c r="AN88">
        <v>0</v>
      </c>
      <c r="AO88">
        <v>0</v>
      </c>
      <c r="AP88">
        <v>0</v>
      </c>
      <c r="AQ88">
        <v>0</v>
      </c>
      <c r="AR88">
        <v>0</v>
      </c>
      <c r="AS88">
        <v>0</v>
      </c>
      <c r="AT88">
        <v>0</v>
      </c>
      <c r="AU88">
        <v>0</v>
      </c>
    </row>
    <row r="89" spans="1:47" x14ac:dyDescent="0.3">
      <c r="A89" s="1">
        <v>46108</v>
      </c>
      <c r="B89" t="s">
        <v>320</v>
      </c>
      <c r="C89">
        <v>1</v>
      </c>
      <c r="D89" t="s">
        <v>254</v>
      </c>
      <c r="E89" t="s">
        <v>230</v>
      </c>
      <c r="F89" t="s">
        <v>80</v>
      </c>
      <c r="G89">
        <v>23</v>
      </c>
      <c r="H89">
        <v>23</v>
      </c>
      <c r="I89">
        <v>2196000</v>
      </c>
      <c r="J89">
        <v>0</v>
      </c>
      <c r="K89" t="s">
        <v>51</v>
      </c>
      <c r="L89" s="1">
        <v>46109</v>
      </c>
      <c r="M89" s="1">
        <v>46109</v>
      </c>
      <c r="N89" t="s">
        <v>52</v>
      </c>
      <c r="P89">
        <v>87</v>
      </c>
      <c r="Q89" t="s">
        <v>256</v>
      </c>
      <c r="R89" t="s">
        <v>83</v>
      </c>
      <c r="S89" t="s">
        <v>69</v>
      </c>
      <c r="T89" t="s">
        <v>56</v>
      </c>
      <c r="U89" t="s">
        <v>232</v>
      </c>
      <c r="V89" t="s">
        <v>101</v>
      </c>
      <c r="W89" t="s">
        <v>102</v>
      </c>
      <c r="X89">
        <v>1800000</v>
      </c>
      <c r="Y89">
        <v>2196000</v>
      </c>
      <c r="Z89" t="s">
        <v>56</v>
      </c>
      <c r="AA89" t="s">
        <v>129</v>
      </c>
      <c r="AB89" t="s">
        <v>88</v>
      </c>
      <c r="AC89" t="s">
        <v>83</v>
      </c>
      <c r="AD89" t="s">
        <v>62</v>
      </c>
      <c r="AE89">
        <v>50508000</v>
      </c>
      <c r="AF89">
        <v>41400000</v>
      </c>
      <c r="AG89">
        <v>9108000</v>
      </c>
      <c r="AH89" t="b">
        <v>1</v>
      </c>
      <c r="AI89" t="b">
        <v>1</v>
      </c>
      <c r="AJ89">
        <v>1</v>
      </c>
      <c r="AK89">
        <v>0</v>
      </c>
      <c r="AL89" t="b">
        <v>1</v>
      </c>
      <c r="AM89" t="b">
        <v>0</v>
      </c>
      <c r="AN89">
        <v>50508000</v>
      </c>
      <c r="AO89">
        <v>9108000</v>
      </c>
      <c r="AP89">
        <v>23</v>
      </c>
      <c r="AQ89">
        <v>23</v>
      </c>
      <c r="AR89">
        <v>1</v>
      </c>
      <c r="AS89">
        <v>1</v>
      </c>
      <c r="AT89">
        <v>0</v>
      </c>
      <c r="AU89">
        <v>9108000</v>
      </c>
    </row>
    <row r="90" spans="1:47" x14ac:dyDescent="0.3">
      <c r="A90" s="1">
        <v>46073</v>
      </c>
      <c r="B90" t="s">
        <v>321</v>
      </c>
      <c r="C90">
        <v>2</v>
      </c>
      <c r="D90" t="s">
        <v>166</v>
      </c>
      <c r="E90" t="s">
        <v>197</v>
      </c>
      <c r="F90" t="s">
        <v>66</v>
      </c>
      <c r="G90">
        <v>30</v>
      </c>
      <c r="H90">
        <v>24</v>
      </c>
      <c r="I90">
        <v>1215000</v>
      </c>
      <c r="J90">
        <v>0.08</v>
      </c>
      <c r="K90" t="s">
        <v>98</v>
      </c>
      <c r="L90" s="1">
        <v>46078</v>
      </c>
      <c r="N90" t="s">
        <v>52</v>
      </c>
      <c r="P90">
        <v>88</v>
      </c>
      <c r="Q90" t="s">
        <v>168</v>
      </c>
      <c r="R90" t="s">
        <v>54</v>
      </c>
      <c r="S90" t="s">
        <v>123</v>
      </c>
      <c r="T90" t="s">
        <v>56</v>
      </c>
      <c r="U90" t="s">
        <v>198</v>
      </c>
      <c r="V90" t="s">
        <v>71</v>
      </c>
      <c r="W90" t="s">
        <v>72</v>
      </c>
      <c r="X90">
        <v>900000</v>
      </c>
      <c r="Y90">
        <v>1215000</v>
      </c>
      <c r="Z90" t="s">
        <v>56</v>
      </c>
      <c r="AA90" t="s">
        <v>129</v>
      </c>
      <c r="AB90" t="s">
        <v>74</v>
      </c>
      <c r="AC90" t="s">
        <v>75</v>
      </c>
      <c r="AD90" t="s">
        <v>158</v>
      </c>
      <c r="AE90">
        <v>26827200</v>
      </c>
      <c r="AF90">
        <v>21600000</v>
      </c>
      <c r="AG90">
        <v>5227200</v>
      </c>
      <c r="AH90" t="b">
        <v>1</v>
      </c>
      <c r="AI90" t="b">
        <v>0</v>
      </c>
      <c r="AL90" t="b">
        <v>1</v>
      </c>
      <c r="AM90" t="b">
        <v>0</v>
      </c>
      <c r="AN90">
        <v>26827200</v>
      </c>
      <c r="AO90">
        <v>5227200</v>
      </c>
      <c r="AP90">
        <v>24</v>
      </c>
      <c r="AQ90">
        <v>30</v>
      </c>
      <c r="AR90">
        <v>0</v>
      </c>
      <c r="AS90">
        <v>0</v>
      </c>
      <c r="AT90">
        <v>0</v>
      </c>
      <c r="AU90">
        <v>5227200</v>
      </c>
    </row>
    <row r="91" spans="1:47" x14ac:dyDescent="0.3">
      <c r="A91" s="1">
        <v>46183</v>
      </c>
      <c r="B91" t="s">
        <v>322</v>
      </c>
      <c r="C91">
        <v>2</v>
      </c>
      <c r="D91" t="s">
        <v>229</v>
      </c>
      <c r="E91" t="s">
        <v>79</v>
      </c>
      <c r="F91" t="s">
        <v>66</v>
      </c>
      <c r="G91">
        <v>29</v>
      </c>
      <c r="H91">
        <v>27</v>
      </c>
      <c r="I91">
        <v>150000</v>
      </c>
      <c r="J91">
        <v>0</v>
      </c>
      <c r="K91" t="s">
        <v>51</v>
      </c>
      <c r="L91" s="1">
        <v>46186</v>
      </c>
      <c r="M91" s="1">
        <v>46188</v>
      </c>
      <c r="N91" t="s">
        <v>106</v>
      </c>
      <c r="P91">
        <v>89</v>
      </c>
      <c r="Q91" t="s">
        <v>231</v>
      </c>
      <c r="R91" t="s">
        <v>83</v>
      </c>
      <c r="S91" t="s">
        <v>123</v>
      </c>
      <c r="T91" t="s">
        <v>56</v>
      </c>
      <c r="U91" t="s">
        <v>85</v>
      </c>
      <c r="V91" t="s">
        <v>86</v>
      </c>
      <c r="W91" t="s">
        <v>87</v>
      </c>
      <c r="X91">
        <v>120000</v>
      </c>
      <c r="Y91">
        <v>150000</v>
      </c>
      <c r="Z91" t="s">
        <v>56</v>
      </c>
      <c r="AA91" t="s">
        <v>60</v>
      </c>
      <c r="AB91" t="s">
        <v>74</v>
      </c>
      <c r="AC91" t="s">
        <v>75</v>
      </c>
      <c r="AD91" t="s">
        <v>118</v>
      </c>
      <c r="AE91">
        <v>4050000</v>
      </c>
      <c r="AF91">
        <v>3240000</v>
      </c>
      <c r="AG91">
        <v>810000</v>
      </c>
      <c r="AH91" t="b">
        <v>1</v>
      </c>
      <c r="AI91" t="b">
        <v>1</v>
      </c>
      <c r="AJ91">
        <v>0</v>
      </c>
      <c r="AK91">
        <v>2</v>
      </c>
      <c r="AL91" t="b">
        <v>1</v>
      </c>
      <c r="AM91" t="b">
        <v>0</v>
      </c>
      <c r="AN91">
        <v>4050000</v>
      </c>
      <c r="AO91">
        <v>810000</v>
      </c>
      <c r="AP91">
        <v>27</v>
      </c>
      <c r="AQ91">
        <v>29</v>
      </c>
      <c r="AR91">
        <v>0</v>
      </c>
      <c r="AS91">
        <v>1</v>
      </c>
      <c r="AT91">
        <v>0</v>
      </c>
      <c r="AU91">
        <v>810000</v>
      </c>
    </row>
    <row r="92" spans="1:47" x14ac:dyDescent="0.3">
      <c r="A92" s="1">
        <v>46102</v>
      </c>
      <c r="B92" t="s">
        <v>323</v>
      </c>
      <c r="C92">
        <v>4</v>
      </c>
      <c r="D92" t="s">
        <v>90</v>
      </c>
      <c r="E92" t="s">
        <v>220</v>
      </c>
      <c r="F92" t="s">
        <v>50</v>
      </c>
      <c r="G92">
        <v>19</v>
      </c>
      <c r="H92">
        <v>18</v>
      </c>
      <c r="I92">
        <v>234000</v>
      </c>
      <c r="J92">
        <v>0.08</v>
      </c>
      <c r="K92" t="s">
        <v>51</v>
      </c>
      <c r="L92" s="1">
        <v>46109</v>
      </c>
      <c r="M92" s="1">
        <v>46110</v>
      </c>
      <c r="N92" t="s">
        <v>67</v>
      </c>
      <c r="P92">
        <v>90</v>
      </c>
      <c r="Q92" t="s">
        <v>92</v>
      </c>
      <c r="R92" t="s">
        <v>75</v>
      </c>
      <c r="S92" t="s">
        <v>84</v>
      </c>
      <c r="T92" t="s">
        <v>56</v>
      </c>
      <c r="U92" t="s">
        <v>221</v>
      </c>
      <c r="V92" t="s">
        <v>58</v>
      </c>
      <c r="W92" t="s">
        <v>59</v>
      </c>
      <c r="X92">
        <v>180000</v>
      </c>
      <c r="Y92">
        <v>234000</v>
      </c>
      <c r="Z92" t="s">
        <v>56</v>
      </c>
      <c r="AA92" t="s">
        <v>60</v>
      </c>
      <c r="AB92" t="s">
        <v>61</v>
      </c>
      <c r="AC92" t="s">
        <v>54</v>
      </c>
      <c r="AD92" t="s">
        <v>62</v>
      </c>
      <c r="AE92">
        <v>3875040</v>
      </c>
      <c r="AF92">
        <v>3240000</v>
      </c>
      <c r="AG92">
        <v>635040</v>
      </c>
      <c r="AH92" t="b">
        <v>1</v>
      </c>
      <c r="AI92" t="b">
        <v>1</v>
      </c>
      <c r="AJ92">
        <v>0</v>
      </c>
      <c r="AK92">
        <v>1</v>
      </c>
      <c r="AL92" t="b">
        <v>1</v>
      </c>
      <c r="AM92" t="b">
        <v>0</v>
      </c>
      <c r="AN92">
        <v>3875040</v>
      </c>
      <c r="AO92">
        <v>635040</v>
      </c>
      <c r="AP92">
        <v>18</v>
      </c>
      <c r="AQ92">
        <v>19</v>
      </c>
      <c r="AR92">
        <v>0</v>
      </c>
      <c r="AS92">
        <v>1</v>
      </c>
      <c r="AT92">
        <v>0</v>
      </c>
      <c r="AU92">
        <v>635040</v>
      </c>
    </row>
    <row r="93" spans="1:47" x14ac:dyDescent="0.3">
      <c r="A93" s="1">
        <v>46171</v>
      </c>
      <c r="B93" t="s">
        <v>324</v>
      </c>
      <c r="C93">
        <v>1</v>
      </c>
      <c r="D93" t="s">
        <v>229</v>
      </c>
      <c r="E93" t="s">
        <v>147</v>
      </c>
      <c r="F93" t="s">
        <v>50</v>
      </c>
      <c r="G93">
        <v>31</v>
      </c>
      <c r="H93">
        <v>31</v>
      </c>
      <c r="I93">
        <v>614000</v>
      </c>
      <c r="J93">
        <v>0</v>
      </c>
      <c r="K93" t="s">
        <v>51</v>
      </c>
      <c r="L93" s="1">
        <v>46174</v>
      </c>
      <c r="M93" s="1">
        <v>46177</v>
      </c>
      <c r="N93" t="s">
        <v>106</v>
      </c>
      <c r="P93">
        <v>91</v>
      </c>
      <c r="Q93" t="s">
        <v>231</v>
      </c>
      <c r="R93" t="s">
        <v>83</v>
      </c>
      <c r="S93" t="s">
        <v>123</v>
      </c>
      <c r="T93" t="s">
        <v>56</v>
      </c>
      <c r="U93" t="s">
        <v>149</v>
      </c>
      <c r="V93" t="s">
        <v>138</v>
      </c>
      <c r="W93" t="s">
        <v>139</v>
      </c>
      <c r="X93">
        <v>480000</v>
      </c>
      <c r="Y93">
        <v>614000</v>
      </c>
      <c r="Z93" t="s">
        <v>56</v>
      </c>
      <c r="AA93" t="s">
        <v>129</v>
      </c>
      <c r="AB93" t="s">
        <v>61</v>
      </c>
      <c r="AC93" t="s">
        <v>54</v>
      </c>
      <c r="AD93" t="s">
        <v>76</v>
      </c>
      <c r="AE93">
        <v>19034000</v>
      </c>
      <c r="AF93">
        <v>14880000</v>
      </c>
      <c r="AG93">
        <v>4154000</v>
      </c>
      <c r="AH93" t="b">
        <v>1</v>
      </c>
      <c r="AI93" t="b">
        <v>1</v>
      </c>
      <c r="AJ93">
        <v>0</v>
      </c>
      <c r="AK93">
        <v>3</v>
      </c>
      <c r="AL93" t="b">
        <v>1</v>
      </c>
      <c r="AM93" t="b">
        <v>0</v>
      </c>
      <c r="AN93">
        <v>19034000</v>
      </c>
      <c r="AO93">
        <v>4154000</v>
      </c>
      <c r="AP93">
        <v>31</v>
      </c>
      <c r="AQ93">
        <v>31</v>
      </c>
      <c r="AR93">
        <v>0</v>
      </c>
      <c r="AS93">
        <v>1</v>
      </c>
      <c r="AT93">
        <v>0</v>
      </c>
      <c r="AU93">
        <v>4154000</v>
      </c>
    </row>
    <row r="94" spans="1:47" x14ac:dyDescent="0.3">
      <c r="A94" s="1">
        <v>46152</v>
      </c>
      <c r="B94" t="s">
        <v>325</v>
      </c>
      <c r="C94">
        <v>1</v>
      </c>
      <c r="D94" t="s">
        <v>326</v>
      </c>
      <c r="E94" t="s">
        <v>160</v>
      </c>
      <c r="F94" t="s">
        <v>66</v>
      </c>
      <c r="G94">
        <v>34</v>
      </c>
      <c r="H94">
        <v>34</v>
      </c>
      <c r="I94">
        <v>1125000</v>
      </c>
      <c r="J94">
        <v>0.02</v>
      </c>
      <c r="K94" t="s">
        <v>51</v>
      </c>
      <c r="L94" s="1">
        <v>46155</v>
      </c>
      <c r="M94" s="1">
        <v>46156</v>
      </c>
      <c r="N94" t="s">
        <v>67</v>
      </c>
      <c r="P94">
        <v>92</v>
      </c>
      <c r="Q94" t="s">
        <v>327</v>
      </c>
      <c r="R94" t="s">
        <v>54</v>
      </c>
      <c r="S94" t="s">
        <v>69</v>
      </c>
      <c r="T94" t="s">
        <v>56</v>
      </c>
      <c r="U94" t="s">
        <v>161</v>
      </c>
      <c r="V94" t="s">
        <v>86</v>
      </c>
      <c r="W94" t="s">
        <v>87</v>
      </c>
      <c r="X94">
        <v>900000</v>
      </c>
      <c r="Y94">
        <v>1125000</v>
      </c>
      <c r="Z94" t="s">
        <v>56</v>
      </c>
      <c r="AA94" t="s">
        <v>60</v>
      </c>
      <c r="AB94" t="s">
        <v>74</v>
      </c>
      <c r="AC94" t="s">
        <v>75</v>
      </c>
      <c r="AD94" t="s">
        <v>76</v>
      </c>
      <c r="AE94">
        <v>37485000</v>
      </c>
      <c r="AF94">
        <v>30600000</v>
      </c>
      <c r="AG94">
        <v>6885000</v>
      </c>
      <c r="AH94" t="b">
        <v>1</v>
      </c>
      <c r="AI94" t="b">
        <v>1</v>
      </c>
      <c r="AJ94">
        <v>0</v>
      </c>
      <c r="AK94">
        <v>1</v>
      </c>
      <c r="AL94" t="b">
        <v>1</v>
      </c>
      <c r="AM94" t="b">
        <v>0</v>
      </c>
      <c r="AN94">
        <v>37485000</v>
      </c>
      <c r="AO94">
        <v>6885000</v>
      </c>
      <c r="AP94">
        <v>34</v>
      </c>
      <c r="AQ94">
        <v>34</v>
      </c>
      <c r="AR94">
        <v>0</v>
      </c>
      <c r="AS94">
        <v>1</v>
      </c>
      <c r="AT94">
        <v>0</v>
      </c>
      <c r="AU94">
        <v>6885000</v>
      </c>
    </row>
    <row r="95" spans="1:47" x14ac:dyDescent="0.3">
      <c r="A95" s="1">
        <v>46109</v>
      </c>
      <c r="B95" t="s">
        <v>328</v>
      </c>
      <c r="C95">
        <v>3</v>
      </c>
      <c r="D95" t="s">
        <v>166</v>
      </c>
      <c r="E95" t="s">
        <v>255</v>
      </c>
      <c r="F95" t="s">
        <v>114</v>
      </c>
      <c r="G95">
        <v>25</v>
      </c>
      <c r="H95">
        <v>22</v>
      </c>
      <c r="I95">
        <v>234000</v>
      </c>
      <c r="J95">
        <v>0.08</v>
      </c>
      <c r="K95" t="s">
        <v>51</v>
      </c>
      <c r="L95" s="1">
        <v>46111</v>
      </c>
      <c r="M95" s="1">
        <v>46111</v>
      </c>
      <c r="N95" t="s">
        <v>106</v>
      </c>
      <c r="P95">
        <v>93</v>
      </c>
      <c r="Q95" t="s">
        <v>168</v>
      </c>
      <c r="R95" t="s">
        <v>54</v>
      </c>
      <c r="S95" t="s">
        <v>123</v>
      </c>
      <c r="T95" t="s">
        <v>56</v>
      </c>
      <c r="U95" t="s">
        <v>257</v>
      </c>
      <c r="V95" t="s">
        <v>58</v>
      </c>
      <c r="W95" t="s">
        <v>59</v>
      </c>
      <c r="X95">
        <v>180000</v>
      </c>
      <c r="Y95">
        <v>234000</v>
      </c>
      <c r="Z95" t="s">
        <v>56</v>
      </c>
      <c r="AA95" t="s">
        <v>60</v>
      </c>
      <c r="AB95" t="s">
        <v>117</v>
      </c>
      <c r="AC95" t="s">
        <v>83</v>
      </c>
      <c r="AD95" t="s">
        <v>62</v>
      </c>
      <c r="AE95">
        <v>4736160</v>
      </c>
      <c r="AF95">
        <v>3960000</v>
      </c>
      <c r="AG95">
        <v>776160</v>
      </c>
      <c r="AH95" t="b">
        <v>1</v>
      </c>
      <c r="AI95" t="b">
        <v>1</v>
      </c>
      <c r="AJ95">
        <v>1</v>
      </c>
      <c r="AK95">
        <v>0</v>
      </c>
      <c r="AL95" t="b">
        <v>1</v>
      </c>
      <c r="AM95" t="b">
        <v>0</v>
      </c>
      <c r="AN95">
        <v>4736160</v>
      </c>
      <c r="AO95">
        <v>776160</v>
      </c>
      <c r="AP95">
        <v>22</v>
      </c>
      <c r="AQ95">
        <v>25</v>
      </c>
      <c r="AR95">
        <v>1</v>
      </c>
      <c r="AS95">
        <v>1</v>
      </c>
      <c r="AT95">
        <v>0</v>
      </c>
      <c r="AU95">
        <v>776160</v>
      </c>
    </row>
    <row r="96" spans="1:47" x14ac:dyDescent="0.3">
      <c r="A96" s="1">
        <v>46172</v>
      </c>
      <c r="B96" t="s">
        <v>329</v>
      </c>
      <c r="C96">
        <v>3</v>
      </c>
      <c r="D96" t="s">
        <v>330</v>
      </c>
      <c r="E96" t="s">
        <v>259</v>
      </c>
      <c r="F96" t="s">
        <v>80</v>
      </c>
      <c r="G96">
        <v>6</v>
      </c>
      <c r="H96">
        <v>4</v>
      </c>
      <c r="I96">
        <v>146000</v>
      </c>
      <c r="J96">
        <v>0.02</v>
      </c>
      <c r="K96" t="s">
        <v>51</v>
      </c>
      <c r="L96" s="1">
        <v>46174</v>
      </c>
      <c r="M96" s="1">
        <v>46177</v>
      </c>
      <c r="N96" t="s">
        <v>106</v>
      </c>
      <c r="P96">
        <v>94</v>
      </c>
      <c r="Q96" t="s">
        <v>331</v>
      </c>
      <c r="R96" t="s">
        <v>83</v>
      </c>
      <c r="S96" t="s">
        <v>55</v>
      </c>
      <c r="T96" t="s">
        <v>56</v>
      </c>
      <c r="U96" t="s">
        <v>260</v>
      </c>
      <c r="V96" t="s">
        <v>101</v>
      </c>
      <c r="W96" t="s">
        <v>102</v>
      </c>
      <c r="X96">
        <v>120000</v>
      </c>
      <c r="Y96">
        <v>146000</v>
      </c>
      <c r="Z96" t="s">
        <v>56</v>
      </c>
      <c r="AA96" t="s">
        <v>129</v>
      </c>
      <c r="AB96" t="s">
        <v>88</v>
      </c>
      <c r="AC96" t="s">
        <v>83</v>
      </c>
      <c r="AD96" t="s">
        <v>76</v>
      </c>
      <c r="AE96">
        <v>572320</v>
      </c>
      <c r="AF96">
        <v>480000</v>
      </c>
      <c r="AG96">
        <v>92320</v>
      </c>
      <c r="AH96" t="b">
        <v>1</v>
      </c>
      <c r="AI96" t="b">
        <v>1</v>
      </c>
      <c r="AJ96">
        <v>0</v>
      </c>
      <c r="AK96">
        <v>3</v>
      </c>
      <c r="AL96" t="b">
        <v>1</v>
      </c>
      <c r="AM96" t="b">
        <v>0</v>
      </c>
      <c r="AN96">
        <v>572320</v>
      </c>
      <c r="AO96">
        <v>92320</v>
      </c>
      <c r="AP96">
        <v>4</v>
      </c>
      <c r="AQ96">
        <v>6</v>
      </c>
      <c r="AR96">
        <v>0</v>
      </c>
      <c r="AS96">
        <v>1</v>
      </c>
      <c r="AT96">
        <v>0</v>
      </c>
      <c r="AU96">
        <v>92320</v>
      </c>
    </row>
    <row r="97" spans="1:47" x14ac:dyDescent="0.3">
      <c r="A97" s="1">
        <v>46188</v>
      </c>
      <c r="B97" t="s">
        <v>332</v>
      </c>
      <c r="C97">
        <v>3</v>
      </c>
      <c r="D97" t="s">
        <v>333</v>
      </c>
      <c r="E97" t="s">
        <v>242</v>
      </c>
      <c r="F97" t="s">
        <v>50</v>
      </c>
      <c r="G97">
        <v>-6</v>
      </c>
      <c r="H97">
        <v>-6</v>
      </c>
      <c r="I97">
        <v>1620000</v>
      </c>
      <c r="J97">
        <v>0.05</v>
      </c>
      <c r="K97" t="s">
        <v>216</v>
      </c>
      <c r="L97" s="1">
        <v>46190</v>
      </c>
      <c r="M97" s="1">
        <v>46190</v>
      </c>
      <c r="N97" t="s">
        <v>81</v>
      </c>
      <c r="P97">
        <v>95</v>
      </c>
      <c r="Q97" t="s">
        <v>334</v>
      </c>
      <c r="R97" t="s">
        <v>75</v>
      </c>
      <c r="S97" t="s">
        <v>123</v>
      </c>
      <c r="T97" t="s">
        <v>56</v>
      </c>
      <c r="U97" t="s">
        <v>243</v>
      </c>
      <c r="V97" t="s">
        <v>71</v>
      </c>
      <c r="W97" t="s">
        <v>72</v>
      </c>
      <c r="X97">
        <v>1200000</v>
      </c>
      <c r="Y97">
        <v>1620000</v>
      </c>
      <c r="Z97" t="s">
        <v>56</v>
      </c>
      <c r="AA97" t="s">
        <v>73</v>
      </c>
      <c r="AB97" t="s">
        <v>61</v>
      </c>
      <c r="AC97" t="s">
        <v>54</v>
      </c>
      <c r="AD97" t="s">
        <v>118</v>
      </c>
      <c r="AE97">
        <v>-9234000</v>
      </c>
      <c r="AF97">
        <v>-7200000</v>
      </c>
      <c r="AG97">
        <v>-2034000</v>
      </c>
      <c r="AH97" t="b">
        <v>1</v>
      </c>
      <c r="AI97" t="b">
        <v>1</v>
      </c>
      <c r="AJ97">
        <v>1</v>
      </c>
      <c r="AK97">
        <v>0</v>
      </c>
      <c r="AL97" t="b">
        <v>0</v>
      </c>
      <c r="AM97" t="b">
        <v>1</v>
      </c>
      <c r="AN97">
        <v>-9234000</v>
      </c>
      <c r="AO97">
        <v>-2034000</v>
      </c>
      <c r="AP97">
        <v>0</v>
      </c>
      <c r="AQ97">
        <v>0</v>
      </c>
      <c r="AR97">
        <v>1</v>
      </c>
      <c r="AS97">
        <v>1</v>
      </c>
      <c r="AT97">
        <v>-9234000</v>
      </c>
      <c r="AU97">
        <v>-2034000</v>
      </c>
    </row>
    <row r="98" spans="1:47" x14ac:dyDescent="0.3">
      <c r="A98" s="1">
        <v>46062</v>
      </c>
      <c r="B98" t="s">
        <v>335</v>
      </c>
      <c r="C98">
        <v>3</v>
      </c>
      <c r="D98" t="s">
        <v>336</v>
      </c>
      <c r="E98" t="s">
        <v>142</v>
      </c>
      <c r="F98" t="s">
        <v>114</v>
      </c>
      <c r="G98">
        <v>22</v>
      </c>
      <c r="H98">
        <v>0</v>
      </c>
      <c r="I98">
        <v>413000</v>
      </c>
      <c r="J98">
        <v>0.08</v>
      </c>
      <c r="K98" t="s">
        <v>127</v>
      </c>
      <c r="L98" s="1">
        <v>46064</v>
      </c>
      <c r="N98" t="s">
        <v>67</v>
      </c>
      <c r="P98">
        <v>96</v>
      </c>
      <c r="Q98" t="s">
        <v>337</v>
      </c>
      <c r="R98" t="s">
        <v>75</v>
      </c>
      <c r="S98" t="s">
        <v>84</v>
      </c>
      <c r="T98" t="s">
        <v>56</v>
      </c>
      <c r="U98" t="s">
        <v>144</v>
      </c>
      <c r="V98" t="s">
        <v>109</v>
      </c>
      <c r="W98" t="s">
        <v>110</v>
      </c>
      <c r="X98">
        <v>350000</v>
      </c>
      <c r="Y98">
        <v>413000</v>
      </c>
      <c r="Z98" t="s">
        <v>56</v>
      </c>
      <c r="AA98" t="s">
        <v>129</v>
      </c>
      <c r="AB98" t="s">
        <v>117</v>
      </c>
      <c r="AC98" t="s">
        <v>83</v>
      </c>
      <c r="AD98" t="s">
        <v>158</v>
      </c>
      <c r="AE98">
        <v>0</v>
      </c>
      <c r="AG98">
        <v>0</v>
      </c>
      <c r="AH98" t="b">
        <v>1</v>
      </c>
      <c r="AI98" t="b">
        <v>0</v>
      </c>
      <c r="AL98" t="b">
        <v>0</v>
      </c>
      <c r="AM98" t="b">
        <v>0</v>
      </c>
      <c r="AN98">
        <v>0</v>
      </c>
      <c r="AO98">
        <v>0</v>
      </c>
      <c r="AP98">
        <v>0</v>
      </c>
      <c r="AQ98">
        <v>0</v>
      </c>
      <c r="AR98">
        <v>0</v>
      </c>
      <c r="AS98">
        <v>0</v>
      </c>
      <c r="AT98">
        <v>0</v>
      </c>
      <c r="AU98">
        <v>0</v>
      </c>
    </row>
    <row r="99" spans="1:47" x14ac:dyDescent="0.3">
      <c r="A99" s="1">
        <v>46062</v>
      </c>
      <c r="B99" t="s">
        <v>338</v>
      </c>
      <c r="C99">
        <v>2</v>
      </c>
      <c r="D99" t="s">
        <v>262</v>
      </c>
      <c r="E99" t="s">
        <v>311</v>
      </c>
      <c r="F99" t="s">
        <v>339</v>
      </c>
      <c r="G99">
        <v>3</v>
      </c>
      <c r="H99">
        <v>0</v>
      </c>
      <c r="I99">
        <v>437000</v>
      </c>
      <c r="J99">
        <v>0</v>
      </c>
      <c r="K99" t="s">
        <v>51</v>
      </c>
      <c r="L99" s="1">
        <v>46067</v>
      </c>
      <c r="M99" s="1">
        <v>46069</v>
      </c>
      <c r="N99" t="s">
        <v>52</v>
      </c>
      <c r="O99" t="s">
        <v>340</v>
      </c>
      <c r="P99">
        <v>97</v>
      </c>
      <c r="Q99" t="s">
        <v>263</v>
      </c>
      <c r="R99" t="s">
        <v>83</v>
      </c>
      <c r="S99" t="s">
        <v>55</v>
      </c>
      <c r="T99" t="s">
        <v>56</v>
      </c>
      <c r="U99" t="s">
        <v>312</v>
      </c>
      <c r="V99" t="s">
        <v>86</v>
      </c>
      <c r="W99" t="s">
        <v>87</v>
      </c>
      <c r="X99">
        <v>350000</v>
      </c>
      <c r="Y99">
        <v>437000</v>
      </c>
      <c r="Z99" t="s">
        <v>56</v>
      </c>
      <c r="AA99" t="s">
        <v>60</v>
      </c>
      <c r="AB99" t="s">
        <v>341</v>
      </c>
      <c r="AC99" t="s">
        <v>83</v>
      </c>
      <c r="AD99" t="s">
        <v>158</v>
      </c>
      <c r="AE99">
        <v>0</v>
      </c>
      <c r="AF99">
        <v>0</v>
      </c>
      <c r="AG99">
        <v>0</v>
      </c>
      <c r="AH99" t="b">
        <v>1</v>
      </c>
      <c r="AI99" t="b">
        <v>1</v>
      </c>
      <c r="AJ99">
        <v>0</v>
      </c>
      <c r="AK99">
        <v>2</v>
      </c>
      <c r="AL99" t="b">
        <v>1</v>
      </c>
      <c r="AM99" t="b">
        <v>0</v>
      </c>
      <c r="AN99">
        <v>0</v>
      </c>
      <c r="AO99">
        <v>0</v>
      </c>
      <c r="AP99">
        <v>0</v>
      </c>
      <c r="AQ99">
        <v>3</v>
      </c>
      <c r="AR99">
        <v>0</v>
      </c>
      <c r="AS99">
        <v>1</v>
      </c>
      <c r="AT99">
        <v>0</v>
      </c>
      <c r="AU99">
        <v>0</v>
      </c>
    </row>
    <row r="100" spans="1:47" x14ac:dyDescent="0.3">
      <c r="A100" s="1">
        <v>46137</v>
      </c>
      <c r="B100" t="s">
        <v>342</v>
      </c>
      <c r="C100">
        <v>2</v>
      </c>
      <c r="D100" t="s">
        <v>330</v>
      </c>
      <c r="E100" t="s">
        <v>273</v>
      </c>
      <c r="F100" t="s">
        <v>80</v>
      </c>
      <c r="G100">
        <v>24</v>
      </c>
      <c r="H100">
        <v>24</v>
      </c>
      <c r="I100">
        <v>2304000</v>
      </c>
      <c r="J100">
        <v>0.05</v>
      </c>
      <c r="K100" t="s">
        <v>51</v>
      </c>
      <c r="L100" s="1">
        <v>46140</v>
      </c>
      <c r="M100" s="1">
        <v>46147</v>
      </c>
      <c r="N100" t="s">
        <v>67</v>
      </c>
      <c r="P100">
        <v>98</v>
      </c>
      <c r="Q100" t="s">
        <v>331</v>
      </c>
      <c r="R100" t="s">
        <v>83</v>
      </c>
      <c r="S100" t="s">
        <v>55</v>
      </c>
      <c r="T100" t="s">
        <v>56</v>
      </c>
      <c r="U100" t="s">
        <v>274</v>
      </c>
      <c r="V100" t="s">
        <v>138</v>
      </c>
      <c r="W100" t="s">
        <v>139</v>
      </c>
      <c r="X100">
        <v>1800000</v>
      </c>
      <c r="Y100">
        <v>2304000</v>
      </c>
      <c r="Z100" t="s">
        <v>56</v>
      </c>
      <c r="AA100" t="s">
        <v>73</v>
      </c>
      <c r="AB100" t="s">
        <v>88</v>
      </c>
      <c r="AC100" t="s">
        <v>83</v>
      </c>
      <c r="AD100" t="s">
        <v>130</v>
      </c>
      <c r="AE100">
        <v>52531200</v>
      </c>
      <c r="AF100">
        <v>43200000</v>
      </c>
      <c r="AG100">
        <v>9331200</v>
      </c>
      <c r="AH100" t="b">
        <v>1</v>
      </c>
      <c r="AI100" t="b">
        <v>1</v>
      </c>
      <c r="AJ100">
        <v>0</v>
      </c>
      <c r="AK100">
        <v>7</v>
      </c>
      <c r="AL100" t="b">
        <v>1</v>
      </c>
      <c r="AM100" t="b">
        <v>0</v>
      </c>
      <c r="AN100">
        <v>52531200</v>
      </c>
      <c r="AO100">
        <v>9331200</v>
      </c>
      <c r="AP100">
        <v>24</v>
      </c>
      <c r="AQ100">
        <v>24</v>
      </c>
      <c r="AR100">
        <v>0</v>
      </c>
      <c r="AS100">
        <v>1</v>
      </c>
      <c r="AT100">
        <v>0</v>
      </c>
      <c r="AU100">
        <v>9331200</v>
      </c>
    </row>
    <row r="101" spans="1:47" x14ac:dyDescent="0.3">
      <c r="A101" s="1">
        <v>46151</v>
      </c>
      <c r="B101" t="s">
        <v>343</v>
      </c>
      <c r="C101">
        <v>4</v>
      </c>
      <c r="D101" t="s">
        <v>344</v>
      </c>
      <c r="E101" t="s">
        <v>147</v>
      </c>
      <c r="F101" t="s">
        <v>80</v>
      </c>
      <c r="G101">
        <v>17</v>
      </c>
      <c r="H101">
        <v>17</v>
      </c>
      <c r="I101">
        <v>614000</v>
      </c>
      <c r="J101">
        <v>0.08</v>
      </c>
      <c r="K101" t="s">
        <v>51</v>
      </c>
      <c r="L101" s="1">
        <v>46152</v>
      </c>
      <c r="M101" s="1">
        <v>46155</v>
      </c>
      <c r="N101" t="s">
        <v>106</v>
      </c>
      <c r="P101">
        <v>99</v>
      </c>
      <c r="Q101" t="s">
        <v>345</v>
      </c>
      <c r="R101" t="s">
        <v>54</v>
      </c>
      <c r="S101" t="s">
        <v>84</v>
      </c>
      <c r="T101" t="s">
        <v>56</v>
      </c>
      <c r="U101" t="s">
        <v>149</v>
      </c>
      <c r="V101" t="s">
        <v>138</v>
      </c>
      <c r="W101" t="s">
        <v>139</v>
      </c>
      <c r="X101">
        <v>480000</v>
      </c>
      <c r="Y101">
        <v>614000</v>
      </c>
      <c r="Z101" t="s">
        <v>56</v>
      </c>
      <c r="AA101" t="s">
        <v>129</v>
      </c>
      <c r="AB101" t="s">
        <v>88</v>
      </c>
      <c r="AC101" t="s">
        <v>83</v>
      </c>
      <c r="AD101" t="s">
        <v>76</v>
      </c>
      <c r="AE101">
        <v>9602960</v>
      </c>
      <c r="AF101">
        <v>8160000</v>
      </c>
      <c r="AG101">
        <v>1442960</v>
      </c>
      <c r="AH101" t="b">
        <v>1</v>
      </c>
      <c r="AI101" t="b">
        <v>1</v>
      </c>
      <c r="AJ101">
        <v>0</v>
      </c>
      <c r="AK101">
        <v>3</v>
      </c>
      <c r="AL101" t="b">
        <v>1</v>
      </c>
      <c r="AM101" t="b">
        <v>0</v>
      </c>
      <c r="AN101">
        <v>9602960</v>
      </c>
      <c r="AO101">
        <v>1442960</v>
      </c>
      <c r="AP101">
        <v>17</v>
      </c>
      <c r="AQ101">
        <v>17</v>
      </c>
      <c r="AR101">
        <v>0</v>
      </c>
      <c r="AS101">
        <v>1</v>
      </c>
      <c r="AT101">
        <v>0</v>
      </c>
      <c r="AU101">
        <v>1442960</v>
      </c>
    </row>
    <row r="102" spans="1:47" x14ac:dyDescent="0.3">
      <c r="A102" s="1">
        <v>46095</v>
      </c>
      <c r="B102" t="s">
        <v>310</v>
      </c>
      <c r="C102">
        <v>2</v>
      </c>
      <c r="D102" t="s">
        <v>209</v>
      </c>
      <c r="E102" t="s">
        <v>160</v>
      </c>
      <c r="F102" t="s">
        <v>80</v>
      </c>
      <c r="G102">
        <v>28</v>
      </c>
      <c r="H102">
        <v>28</v>
      </c>
      <c r="I102">
        <v>1125000</v>
      </c>
      <c r="J102">
        <v>0.02</v>
      </c>
      <c r="K102" t="s">
        <v>51</v>
      </c>
      <c r="L102" s="1">
        <v>46096</v>
      </c>
      <c r="M102" s="1">
        <v>46097</v>
      </c>
      <c r="N102" t="s">
        <v>106</v>
      </c>
      <c r="P102">
        <v>100</v>
      </c>
      <c r="Q102" t="s">
        <v>211</v>
      </c>
      <c r="R102" t="s">
        <v>54</v>
      </c>
      <c r="S102" t="s">
        <v>84</v>
      </c>
      <c r="T102" t="s">
        <v>56</v>
      </c>
      <c r="U102" t="s">
        <v>161</v>
      </c>
      <c r="V102" t="s">
        <v>86</v>
      </c>
      <c r="W102" t="s">
        <v>87</v>
      </c>
      <c r="X102">
        <v>900000</v>
      </c>
      <c r="Y102">
        <v>1125000</v>
      </c>
      <c r="Z102" t="s">
        <v>56</v>
      </c>
      <c r="AA102" t="s">
        <v>60</v>
      </c>
      <c r="AB102" t="s">
        <v>88</v>
      </c>
      <c r="AC102" t="s">
        <v>83</v>
      </c>
      <c r="AD102" t="s">
        <v>62</v>
      </c>
      <c r="AE102">
        <v>30870000</v>
      </c>
      <c r="AF102">
        <v>25200000</v>
      </c>
      <c r="AG102">
        <v>5670000</v>
      </c>
      <c r="AH102" t="b">
        <v>1</v>
      </c>
      <c r="AI102" t="b">
        <v>1</v>
      </c>
      <c r="AJ102">
        <v>0</v>
      </c>
      <c r="AK102">
        <v>1</v>
      </c>
      <c r="AL102" t="b">
        <v>1</v>
      </c>
      <c r="AM102" t="b">
        <v>0</v>
      </c>
      <c r="AN102">
        <v>30870000</v>
      </c>
      <c r="AO102">
        <v>5670000</v>
      </c>
      <c r="AP102">
        <v>28</v>
      </c>
      <c r="AQ102">
        <v>28</v>
      </c>
      <c r="AR102">
        <v>0</v>
      </c>
      <c r="AS102">
        <v>1</v>
      </c>
      <c r="AT102">
        <v>0</v>
      </c>
      <c r="AU102">
        <v>5670000</v>
      </c>
    </row>
    <row r="103" spans="1:47" x14ac:dyDescent="0.3">
      <c r="A103" s="1">
        <v>46124</v>
      </c>
      <c r="B103" t="s">
        <v>346</v>
      </c>
      <c r="C103">
        <v>3</v>
      </c>
      <c r="D103" t="s">
        <v>326</v>
      </c>
      <c r="E103" t="s">
        <v>136</v>
      </c>
      <c r="F103" t="s">
        <v>114</v>
      </c>
      <c r="G103">
        <v>24</v>
      </c>
      <c r="H103">
        <v>24</v>
      </c>
      <c r="I103">
        <v>2304000</v>
      </c>
      <c r="J103">
        <v>0.1</v>
      </c>
      <c r="K103" t="s">
        <v>51</v>
      </c>
      <c r="L103" s="1">
        <v>46134</v>
      </c>
      <c r="M103" s="1">
        <v>46134</v>
      </c>
      <c r="N103" t="s">
        <v>81</v>
      </c>
      <c r="P103">
        <v>101</v>
      </c>
      <c r="Q103" t="s">
        <v>327</v>
      </c>
      <c r="R103" t="s">
        <v>54</v>
      </c>
      <c r="S103" t="s">
        <v>69</v>
      </c>
      <c r="T103" t="s">
        <v>56</v>
      </c>
      <c r="U103" t="s">
        <v>137</v>
      </c>
      <c r="V103" t="s">
        <v>138</v>
      </c>
      <c r="W103" t="s">
        <v>139</v>
      </c>
      <c r="X103">
        <v>1800000</v>
      </c>
      <c r="Y103">
        <v>2304000</v>
      </c>
      <c r="Z103" t="s">
        <v>56</v>
      </c>
      <c r="AA103" t="s">
        <v>129</v>
      </c>
      <c r="AB103" t="s">
        <v>117</v>
      </c>
      <c r="AC103" t="s">
        <v>83</v>
      </c>
      <c r="AD103" t="s">
        <v>130</v>
      </c>
      <c r="AE103">
        <v>49766400</v>
      </c>
      <c r="AF103">
        <v>43200000</v>
      </c>
      <c r="AG103">
        <v>6566400</v>
      </c>
      <c r="AH103" t="b">
        <v>1</v>
      </c>
      <c r="AI103" t="b">
        <v>1</v>
      </c>
      <c r="AJ103">
        <v>1</v>
      </c>
      <c r="AK103">
        <v>0</v>
      </c>
      <c r="AL103" t="b">
        <v>1</v>
      </c>
      <c r="AM103" t="b">
        <v>0</v>
      </c>
      <c r="AN103">
        <v>49766400</v>
      </c>
      <c r="AO103">
        <v>6566400</v>
      </c>
      <c r="AP103">
        <v>24</v>
      </c>
      <c r="AQ103">
        <v>24</v>
      </c>
      <c r="AR103">
        <v>1</v>
      </c>
      <c r="AS103">
        <v>1</v>
      </c>
      <c r="AT103">
        <v>0</v>
      </c>
      <c r="AU103">
        <v>6566400</v>
      </c>
    </row>
    <row r="104" spans="1:47" x14ac:dyDescent="0.3">
      <c r="A104" s="1">
        <v>46058</v>
      </c>
      <c r="B104" t="s">
        <v>347</v>
      </c>
      <c r="C104">
        <v>3</v>
      </c>
      <c r="D104" t="s">
        <v>215</v>
      </c>
      <c r="E104" t="s">
        <v>348</v>
      </c>
      <c r="F104" t="s">
        <v>66</v>
      </c>
      <c r="G104">
        <v>29</v>
      </c>
      <c r="H104">
        <v>29</v>
      </c>
      <c r="I104">
        <v>566000</v>
      </c>
      <c r="J104">
        <v>0.02</v>
      </c>
      <c r="K104" t="s">
        <v>51</v>
      </c>
      <c r="L104" s="1">
        <v>46060</v>
      </c>
      <c r="M104" s="1">
        <v>46067</v>
      </c>
      <c r="N104" t="s">
        <v>81</v>
      </c>
      <c r="P104">
        <v>102</v>
      </c>
      <c r="Q104" t="s">
        <v>217</v>
      </c>
      <c r="R104" t="s">
        <v>54</v>
      </c>
      <c r="S104" t="s">
        <v>69</v>
      </c>
      <c r="T104" t="s">
        <v>218</v>
      </c>
      <c r="U104" t="s">
        <v>349</v>
      </c>
      <c r="V104" t="s">
        <v>109</v>
      </c>
      <c r="W104" t="s">
        <v>110</v>
      </c>
      <c r="X104">
        <v>480000</v>
      </c>
      <c r="Y104">
        <v>566000</v>
      </c>
      <c r="Z104" t="s">
        <v>56</v>
      </c>
      <c r="AA104" t="s">
        <v>60</v>
      </c>
      <c r="AB104" t="s">
        <v>74</v>
      </c>
      <c r="AC104" t="s">
        <v>75</v>
      </c>
      <c r="AD104" t="s">
        <v>158</v>
      </c>
      <c r="AE104">
        <v>16085720</v>
      </c>
      <c r="AF104">
        <v>13920000</v>
      </c>
      <c r="AG104">
        <v>2165720</v>
      </c>
      <c r="AH104" t="b">
        <v>1</v>
      </c>
      <c r="AI104" t="b">
        <v>1</v>
      </c>
      <c r="AJ104">
        <v>0</v>
      </c>
      <c r="AK104">
        <v>7</v>
      </c>
      <c r="AL104" t="b">
        <v>1</v>
      </c>
      <c r="AM104" t="b">
        <v>0</v>
      </c>
      <c r="AN104">
        <v>16085720</v>
      </c>
      <c r="AO104">
        <v>2165720</v>
      </c>
      <c r="AP104">
        <v>29</v>
      </c>
      <c r="AQ104">
        <v>29</v>
      </c>
      <c r="AR104">
        <v>0</v>
      </c>
      <c r="AS104">
        <v>1</v>
      </c>
      <c r="AT104">
        <v>0</v>
      </c>
      <c r="AU104">
        <v>2165720</v>
      </c>
    </row>
    <row r="105" spans="1:47" x14ac:dyDescent="0.3">
      <c r="A105" s="1">
        <v>46163</v>
      </c>
      <c r="B105" t="s">
        <v>343</v>
      </c>
      <c r="C105">
        <v>4</v>
      </c>
      <c r="D105" t="s">
        <v>78</v>
      </c>
      <c r="E105" t="s">
        <v>246</v>
      </c>
      <c r="F105" t="s">
        <v>80</v>
      </c>
      <c r="G105">
        <v>20</v>
      </c>
      <c r="H105">
        <v>20</v>
      </c>
      <c r="I105">
        <v>1152000</v>
      </c>
      <c r="J105">
        <v>0.1</v>
      </c>
      <c r="K105" t="s">
        <v>51</v>
      </c>
      <c r="L105" s="1">
        <v>46170</v>
      </c>
      <c r="M105" s="1">
        <v>46171</v>
      </c>
      <c r="N105" t="s">
        <v>106</v>
      </c>
      <c r="P105">
        <v>103</v>
      </c>
      <c r="Q105" t="s">
        <v>82</v>
      </c>
      <c r="R105" t="s">
        <v>83</v>
      </c>
      <c r="S105" t="s">
        <v>84</v>
      </c>
      <c r="T105" t="s">
        <v>56</v>
      </c>
      <c r="U105" t="s">
        <v>248</v>
      </c>
      <c r="V105" t="s">
        <v>138</v>
      </c>
      <c r="W105" t="s">
        <v>139</v>
      </c>
      <c r="X105">
        <v>900000</v>
      </c>
      <c r="Y105">
        <v>1152000</v>
      </c>
      <c r="Z105" t="s">
        <v>56</v>
      </c>
      <c r="AA105" t="s">
        <v>73</v>
      </c>
      <c r="AB105" t="s">
        <v>88</v>
      </c>
      <c r="AC105" t="s">
        <v>83</v>
      </c>
      <c r="AD105" t="s">
        <v>76</v>
      </c>
      <c r="AE105">
        <v>20736000</v>
      </c>
      <c r="AF105">
        <v>18000000</v>
      </c>
      <c r="AG105">
        <v>2736000</v>
      </c>
      <c r="AH105" t="b">
        <v>1</v>
      </c>
      <c r="AI105" t="b">
        <v>1</v>
      </c>
      <c r="AJ105">
        <v>0</v>
      </c>
      <c r="AK105">
        <v>1</v>
      </c>
      <c r="AL105" t="b">
        <v>1</v>
      </c>
      <c r="AM105" t="b">
        <v>0</v>
      </c>
      <c r="AN105">
        <v>20736000</v>
      </c>
      <c r="AO105">
        <v>2736000</v>
      </c>
      <c r="AP105">
        <v>20</v>
      </c>
      <c r="AQ105">
        <v>20</v>
      </c>
      <c r="AR105">
        <v>0</v>
      </c>
      <c r="AS105">
        <v>1</v>
      </c>
      <c r="AT105">
        <v>0</v>
      </c>
      <c r="AU105">
        <v>2736000</v>
      </c>
    </row>
    <row r="106" spans="1:47" x14ac:dyDescent="0.3">
      <c r="A106" s="1">
        <v>46051</v>
      </c>
      <c r="B106" t="s">
        <v>350</v>
      </c>
      <c r="C106">
        <v>1</v>
      </c>
      <c r="D106" t="s">
        <v>254</v>
      </c>
      <c r="E106" t="s">
        <v>152</v>
      </c>
      <c r="F106" t="s">
        <v>80</v>
      </c>
      <c r="G106">
        <v>19</v>
      </c>
      <c r="H106">
        <v>19</v>
      </c>
      <c r="I106">
        <v>845000</v>
      </c>
      <c r="J106">
        <v>0</v>
      </c>
      <c r="K106" t="s">
        <v>51</v>
      </c>
      <c r="L106" s="1">
        <v>46058</v>
      </c>
      <c r="M106" s="1">
        <v>46059</v>
      </c>
      <c r="N106" t="s">
        <v>81</v>
      </c>
      <c r="P106">
        <v>104</v>
      </c>
      <c r="Q106" t="s">
        <v>256</v>
      </c>
      <c r="R106" t="s">
        <v>83</v>
      </c>
      <c r="S106" t="s">
        <v>69</v>
      </c>
      <c r="T106" t="s">
        <v>56</v>
      </c>
      <c r="U106" t="s">
        <v>154</v>
      </c>
      <c r="V106" t="s">
        <v>58</v>
      </c>
      <c r="W106" t="s">
        <v>59</v>
      </c>
      <c r="X106">
        <v>650000</v>
      </c>
      <c r="Y106">
        <v>845000</v>
      </c>
      <c r="Z106" t="s">
        <v>56</v>
      </c>
      <c r="AA106" t="s">
        <v>73</v>
      </c>
      <c r="AB106" t="s">
        <v>88</v>
      </c>
      <c r="AC106" t="s">
        <v>83</v>
      </c>
      <c r="AD106" t="s">
        <v>94</v>
      </c>
      <c r="AE106">
        <v>16055000</v>
      </c>
      <c r="AF106">
        <v>12350000</v>
      </c>
      <c r="AG106">
        <v>3705000</v>
      </c>
      <c r="AH106" t="b">
        <v>1</v>
      </c>
      <c r="AI106" t="b">
        <v>1</v>
      </c>
      <c r="AJ106">
        <v>0</v>
      </c>
      <c r="AK106">
        <v>1</v>
      </c>
      <c r="AL106" t="b">
        <v>1</v>
      </c>
      <c r="AM106" t="b">
        <v>0</v>
      </c>
      <c r="AN106">
        <v>16055000</v>
      </c>
      <c r="AO106">
        <v>3705000</v>
      </c>
      <c r="AP106">
        <v>19</v>
      </c>
      <c r="AQ106">
        <v>19</v>
      </c>
      <c r="AR106">
        <v>0</v>
      </c>
      <c r="AS106">
        <v>1</v>
      </c>
      <c r="AT106">
        <v>0</v>
      </c>
      <c r="AU106">
        <v>3705000</v>
      </c>
    </row>
    <row r="107" spans="1:47" x14ac:dyDescent="0.3">
      <c r="A107" s="1">
        <v>46193</v>
      </c>
      <c r="B107" t="s">
        <v>351</v>
      </c>
      <c r="C107">
        <v>3</v>
      </c>
      <c r="D107" t="s">
        <v>166</v>
      </c>
      <c r="E107" t="s">
        <v>210</v>
      </c>
      <c r="F107" t="s">
        <v>114</v>
      </c>
      <c r="G107">
        <v>25</v>
      </c>
      <c r="H107">
        <v>0</v>
      </c>
      <c r="I107">
        <v>234000</v>
      </c>
      <c r="J107">
        <v>0</v>
      </c>
      <c r="K107" t="s">
        <v>127</v>
      </c>
      <c r="L107" s="1">
        <v>46203</v>
      </c>
      <c r="N107" t="s">
        <v>67</v>
      </c>
      <c r="P107">
        <v>105</v>
      </c>
      <c r="Q107" t="s">
        <v>168</v>
      </c>
      <c r="R107" t="s">
        <v>54</v>
      </c>
      <c r="S107" t="s">
        <v>123</v>
      </c>
      <c r="T107" t="s">
        <v>56</v>
      </c>
      <c r="U107" t="s">
        <v>212</v>
      </c>
      <c r="V107" t="s">
        <v>58</v>
      </c>
      <c r="W107" t="s">
        <v>59</v>
      </c>
      <c r="X107">
        <v>180000</v>
      </c>
      <c r="Y107">
        <v>234000</v>
      </c>
      <c r="Z107" t="s">
        <v>56</v>
      </c>
      <c r="AA107" t="s">
        <v>60</v>
      </c>
      <c r="AB107" t="s">
        <v>117</v>
      </c>
      <c r="AC107" t="s">
        <v>83</v>
      </c>
      <c r="AD107" t="s">
        <v>118</v>
      </c>
      <c r="AE107">
        <v>0</v>
      </c>
      <c r="AG107">
        <v>0</v>
      </c>
      <c r="AH107" t="b">
        <v>1</v>
      </c>
      <c r="AI107" t="b">
        <v>0</v>
      </c>
      <c r="AL107" t="b">
        <v>0</v>
      </c>
      <c r="AM107" t="b">
        <v>0</v>
      </c>
      <c r="AN107">
        <v>0</v>
      </c>
      <c r="AO107">
        <v>0</v>
      </c>
      <c r="AP107">
        <v>0</v>
      </c>
      <c r="AQ107">
        <v>0</v>
      </c>
      <c r="AR107">
        <v>0</v>
      </c>
      <c r="AS107">
        <v>0</v>
      </c>
      <c r="AT107">
        <v>0</v>
      </c>
      <c r="AU107">
        <v>0</v>
      </c>
    </row>
    <row r="108" spans="1:47" x14ac:dyDescent="0.3">
      <c r="A108" s="1">
        <v>46118</v>
      </c>
      <c r="B108" t="s">
        <v>352</v>
      </c>
      <c r="C108">
        <v>1</v>
      </c>
      <c r="D108" t="s">
        <v>188</v>
      </c>
      <c r="E108" t="s">
        <v>79</v>
      </c>
      <c r="F108" t="s">
        <v>50</v>
      </c>
      <c r="G108">
        <v>16</v>
      </c>
      <c r="H108">
        <v>3</v>
      </c>
      <c r="I108">
        <v>150000</v>
      </c>
      <c r="J108">
        <v>0.08</v>
      </c>
      <c r="K108" t="s">
        <v>98</v>
      </c>
      <c r="L108" s="1">
        <v>46128</v>
      </c>
      <c r="N108" t="s">
        <v>52</v>
      </c>
      <c r="P108">
        <v>106</v>
      </c>
      <c r="Q108" t="s">
        <v>190</v>
      </c>
      <c r="R108" t="s">
        <v>83</v>
      </c>
      <c r="S108" t="s">
        <v>123</v>
      </c>
      <c r="T108" t="s">
        <v>56</v>
      </c>
      <c r="U108" t="s">
        <v>85</v>
      </c>
      <c r="V108" t="s">
        <v>86</v>
      </c>
      <c r="W108" t="s">
        <v>87</v>
      </c>
      <c r="X108">
        <v>120000</v>
      </c>
      <c r="Y108">
        <v>150000</v>
      </c>
      <c r="Z108" t="s">
        <v>56</v>
      </c>
      <c r="AA108" t="s">
        <v>60</v>
      </c>
      <c r="AB108" t="s">
        <v>61</v>
      </c>
      <c r="AC108" t="s">
        <v>54</v>
      </c>
      <c r="AD108" t="s">
        <v>130</v>
      </c>
      <c r="AE108">
        <v>414000</v>
      </c>
      <c r="AF108">
        <v>360000</v>
      </c>
      <c r="AG108">
        <v>54000</v>
      </c>
      <c r="AH108" t="b">
        <v>1</v>
      </c>
      <c r="AI108" t="b">
        <v>0</v>
      </c>
      <c r="AL108" t="b">
        <v>1</v>
      </c>
      <c r="AM108" t="b">
        <v>0</v>
      </c>
      <c r="AN108">
        <v>414000</v>
      </c>
      <c r="AO108">
        <v>54000</v>
      </c>
      <c r="AP108">
        <v>3</v>
      </c>
      <c r="AQ108">
        <v>16</v>
      </c>
      <c r="AR108">
        <v>0</v>
      </c>
      <c r="AS108">
        <v>0</v>
      </c>
      <c r="AT108">
        <v>0</v>
      </c>
      <c r="AU108">
        <v>54000</v>
      </c>
    </row>
    <row r="109" spans="1:47" x14ac:dyDescent="0.3">
      <c r="A109" s="1">
        <v>46057</v>
      </c>
      <c r="B109" t="s">
        <v>353</v>
      </c>
      <c r="C109">
        <v>3</v>
      </c>
      <c r="D109" t="s">
        <v>292</v>
      </c>
      <c r="E109" t="s">
        <v>255</v>
      </c>
      <c r="F109" t="s">
        <v>80</v>
      </c>
      <c r="G109">
        <v>-8</v>
      </c>
      <c r="H109">
        <v>-8</v>
      </c>
      <c r="I109">
        <v>234000</v>
      </c>
      <c r="J109">
        <v>0.1</v>
      </c>
      <c r="K109" t="s">
        <v>216</v>
      </c>
      <c r="L109" s="1">
        <v>46059</v>
      </c>
      <c r="M109" s="1">
        <v>46066</v>
      </c>
      <c r="N109" t="s">
        <v>81</v>
      </c>
      <c r="P109">
        <v>107</v>
      </c>
      <c r="Q109" t="s">
        <v>293</v>
      </c>
      <c r="R109" t="s">
        <v>83</v>
      </c>
      <c r="S109" t="s">
        <v>69</v>
      </c>
      <c r="T109" t="s">
        <v>56</v>
      </c>
      <c r="U109" t="s">
        <v>257</v>
      </c>
      <c r="V109" t="s">
        <v>58</v>
      </c>
      <c r="W109" t="s">
        <v>59</v>
      </c>
      <c r="X109">
        <v>180000</v>
      </c>
      <c r="Y109">
        <v>234000</v>
      </c>
      <c r="Z109" t="s">
        <v>56</v>
      </c>
      <c r="AA109" t="s">
        <v>60</v>
      </c>
      <c r="AB109" t="s">
        <v>88</v>
      </c>
      <c r="AC109" t="s">
        <v>83</v>
      </c>
      <c r="AD109" t="s">
        <v>158</v>
      </c>
      <c r="AE109">
        <v>-1684800</v>
      </c>
      <c r="AF109">
        <v>-1440000</v>
      </c>
      <c r="AG109">
        <v>-244800</v>
      </c>
      <c r="AH109" t="b">
        <v>1</v>
      </c>
      <c r="AI109" t="b">
        <v>1</v>
      </c>
      <c r="AJ109">
        <v>0</v>
      </c>
      <c r="AK109">
        <v>7</v>
      </c>
      <c r="AL109" t="b">
        <v>0</v>
      </c>
      <c r="AM109" t="b">
        <v>1</v>
      </c>
      <c r="AN109">
        <v>-1684800</v>
      </c>
      <c r="AO109">
        <v>-244800</v>
      </c>
      <c r="AP109">
        <v>0</v>
      </c>
      <c r="AQ109">
        <v>0</v>
      </c>
      <c r="AR109">
        <v>0</v>
      </c>
      <c r="AS109">
        <v>1</v>
      </c>
      <c r="AT109">
        <v>-1684800</v>
      </c>
      <c r="AU109">
        <v>-244800</v>
      </c>
    </row>
    <row r="110" spans="1:47" x14ac:dyDescent="0.3">
      <c r="A110" s="1">
        <v>46039</v>
      </c>
      <c r="B110" t="s">
        <v>354</v>
      </c>
      <c r="C110">
        <v>1</v>
      </c>
      <c r="D110" t="s">
        <v>163</v>
      </c>
      <c r="E110" t="s">
        <v>147</v>
      </c>
      <c r="F110" t="s">
        <v>114</v>
      </c>
      <c r="G110">
        <v>13</v>
      </c>
      <c r="H110">
        <v>0</v>
      </c>
      <c r="I110">
        <v>614000</v>
      </c>
      <c r="J110">
        <v>0.02</v>
      </c>
      <c r="K110" t="s">
        <v>127</v>
      </c>
      <c r="L110" s="1">
        <v>46042</v>
      </c>
      <c r="N110" t="s">
        <v>67</v>
      </c>
      <c r="P110">
        <v>108</v>
      </c>
      <c r="Q110" t="s">
        <v>164</v>
      </c>
      <c r="R110" t="s">
        <v>75</v>
      </c>
      <c r="S110" t="s">
        <v>69</v>
      </c>
      <c r="T110" t="s">
        <v>56</v>
      </c>
      <c r="U110" t="s">
        <v>149</v>
      </c>
      <c r="V110" t="s">
        <v>138</v>
      </c>
      <c r="W110" t="s">
        <v>139</v>
      </c>
      <c r="X110">
        <v>480000</v>
      </c>
      <c r="Y110">
        <v>614000</v>
      </c>
      <c r="Z110" t="s">
        <v>56</v>
      </c>
      <c r="AA110" t="s">
        <v>129</v>
      </c>
      <c r="AB110" t="s">
        <v>117</v>
      </c>
      <c r="AC110" t="s">
        <v>83</v>
      </c>
      <c r="AD110" t="s">
        <v>94</v>
      </c>
      <c r="AE110">
        <v>0</v>
      </c>
      <c r="AG110">
        <v>0</v>
      </c>
      <c r="AH110" t="b">
        <v>1</v>
      </c>
      <c r="AI110" t="b">
        <v>0</v>
      </c>
      <c r="AL110" t="b">
        <v>0</v>
      </c>
      <c r="AM110" t="b">
        <v>0</v>
      </c>
      <c r="AN110">
        <v>0</v>
      </c>
      <c r="AO110">
        <v>0</v>
      </c>
      <c r="AP110">
        <v>0</v>
      </c>
      <c r="AQ110">
        <v>0</v>
      </c>
      <c r="AR110">
        <v>0</v>
      </c>
      <c r="AS110">
        <v>0</v>
      </c>
      <c r="AT110">
        <v>0</v>
      </c>
      <c r="AU110">
        <v>0</v>
      </c>
    </row>
    <row r="111" spans="1:47" x14ac:dyDescent="0.3">
      <c r="A111" s="1">
        <v>46162</v>
      </c>
      <c r="B111" t="s">
        <v>355</v>
      </c>
      <c r="C111">
        <v>3</v>
      </c>
      <c r="D111" t="s">
        <v>90</v>
      </c>
      <c r="E111" t="s">
        <v>147</v>
      </c>
      <c r="F111" t="s">
        <v>50</v>
      </c>
      <c r="G111">
        <v>23</v>
      </c>
      <c r="H111">
        <v>0</v>
      </c>
      <c r="I111">
        <v>614000</v>
      </c>
      <c r="J111">
        <v>0</v>
      </c>
      <c r="K111" t="s">
        <v>127</v>
      </c>
      <c r="L111" s="1">
        <v>46172</v>
      </c>
      <c r="N111" t="s">
        <v>52</v>
      </c>
      <c r="P111">
        <v>109</v>
      </c>
      <c r="Q111" t="s">
        <v>92</v>
      </c>
      <c r="R111" t="s">
        <v>75</v>
      </c>
      <c r="S111" t="s">
        <v>84</v>
      </c>
      <c r="T111" t="s">
        <v>56</v>
      </c>
      <c r="U111" t="s">
        <v>149</v>
      </c>
      <c r="V111" t="s">
        <v>138</v>
      </c>
      <c r="W111" t="s">
        <v>139</v>
      </c>
      <c r="X111">
        <v>480000</v>
      </c>
      <c r="Y111">
        <v>614000</v>
      </c>
      <c r="Z111" t="s">
        <v>56</v>
      </c>
      <c r="AA111" t="s">
        <v>129</v>
      </c>
      <c r="AB111" t="s">
        <v>61</v>
      </c>
      <c r="AC111" t="s">
        <v>54</v>
      </c>
      <c r="AD111" t="s">
        <v>76</v>
      </c>
      <c r="AE111">
        <v>0</v>
      </c>
      <c r="AG111">
        <v>0</v>
      </c>
      <c r="AH111" t="b">
        <v>1</v>
      </c>
      <c r="AI111" t="b">
        <v>0</v>
      </c>
      <c r="AL111" t="b">
        <v>0</v>
      </c>
      <c r="AM111" t="b">
        <v>0</v>
      </c>
      <c r="AN111">
        <v>0</v>
      </c>
      <c r="AO111">
        <v>0</v>
      </c>
      <c r="AP111">
        <v>0</v>
      </c>
      <c r="AQ111">
        <v>0</v>
      </c>
      <c r="AR111">
        <v>0</v>
      </c>
      <c r="AS111">
        <v>0</v>
      </c>
      <c r="AT111">
        <v>0</v>
      </c>
      <c r="AU111">
        <v>0</v>
      </c>
    </row>
    <row r="112" spans="1:47" x14ac:dyDescent="0.3">
      <c r="A112" s="1">
        <v>46092</v>
      </c>
      <c r="B112" t="s">
        <v>356</v>
      </c>
      <c r="C112">
        <v>3</v>
      </c>
      <c r="D112" t="s">
        <v>174</v>
      </c>
      <c r="E112" t="s">
        <v>259</v>
      </c>
      <c r="F112" t="s">
        <v>66</v>
      </c>
      <c r="G112">
        <v>25</v>
      </c>
      <c r="H112">
        <v>25</v>
      </c>
      <c r="I112">
        <v>146000</v>
      </c>
      <c r="J112">
        <v>0.1</v>
      </c>
      <c r="K112" t="s">
        <v>51</v>
      </c>
      <c r="L112" s="1">
        <v>46097</v>
      </c>
      <c r="M112" s="1">
        <v>46097</v>
      </c>
      <c r="N112" t="s">
        <v>52</v>
      </c>
      <c r="P112">
        <v>110</v>
      </c>
      <c r="Q112" t="s">
        <v>176</v>
      </c>
      <c r="R112" t="s">
        <v>83</v>
      </c>
      <c r="S112" t="s">
        <v>69</v>
      </c>
      <c r="T112" t="s">
        <v>56</v>
      </c>
      <c r="U112" t="s">
        <v>260</v>
      </c>
      <c r="V112" t="s">
        <v>101</v>
      </c>
      <c r="W112" t="s">
        <v>102</v>
      </c>
      <c r="X112">
        <v>120000</v>
      </c>
      <c r="Y112">
        <v>146000</v>
      </c>
      <c r="Z112" t="s">
        <v>56</v>
      </c>
      <c r="AA112" t="s">
        <v>129</v>
      </c>
      <c r="AB112" t="s">
        <v>74</v>
      </c>
      <c r="AC112" t="s">
        <v>75</v>
      </c>
      <c r="AD112" t="s">
        <v>62</v>
      </c>
      <c r="AE112">
        <v>3285000</v>
      </c>
      <c r="AF112">
        <v>3000000</v>
      </c>
      <c r="AG112">
        <v>285000</v>
      </c>
      <c r="AH112" t="b">
        <v>1</v>
      </c>
      <c r="AI112" t="b">
        <v>1</v>
      </c>
      <c r="AJ112">
        <v>1</v>
      </c>
      <c r="AK112">
        <v>0</v>
      </c>
      <c r="AL112" t="b">
        <v>1</v>
      </c>
      <c r="AM112" t="b">
        <v>0</v>
      </c>
      <c r="AN112">
        <v>3285000</v>
      </c>
      <c r="AO112">
        <v>285000</v>
      </c>
      <c r="AP112">
        <v>25</v>
      </c>
      <c r="AQ112">
        <v>25</v>
      </c>
      <c r="AR112">
        <v>1</v>
      </c>
      <c r="AS112">
        <v>1</v>
      </c>
      <c r="AT112">
        <v>0</v>
      </c>
      <c r="AU112">
        <v>285000</v>
      </c>
    </row>
    <row r="113" spans="1:47" x14ac:dyDescent="0.3">
      <c r="A113" s="1">
        <v>46044</v>
      </c>
      <c r="B113" t="s">
        <v>357</v>
      </c>
      <c r="C113">
        <v>1</v>
      </c>
      <c r="D113" t="s">
        <v>174</v>
      </c>
      <c r="E113" t="s">
        <v>197</v>
      </c>
      <c r="F113" t="s">
        <v>50</v>
      </c>
      <c r="G113">
        <v>21</v>
      </c>
      <c r="H113">
        <v>19</v>
      </c>
      <c r="I113">
        <v>1215000</v>
      </c>
      <c r="J113">
        <v>0.02</v>
      </c>
      <c r="K113" t="s">
        <v>51</v>
      </c>
      <c r="L113" s="1">
        <v>46047</v>
      </c>
      <c r="M113" s="1">
        <v>46048</v>
      </c>
      <c r="N113" t="s">
        <v>67</v>
      </c>
      <c r="P113">
        <v>111</v>
      </c>
      <c r="Q113" t="s">
        <v>176</v>
      </c>
      <c r="R113" t="s">
        <v>83</v>
      </c>
      <c r="S113" t="s">
        <v>69</v>
      </c>
      <c r="T113" t="s">
        <v>56</v>
      </c>
      <c r="U113" t="s">
        <v>198</v>
      </c>
      <c r="V113" t="s">
        <v>71</v>
      </c>
      <c r="W113" t="s">
        <v>72</v>
      </c>
      <c r="X113">
        <v>900000</v>
      </c>
      <c r="Y113">
        <v>1215000</v>
      </c>
      <c r="Z113" t="s">
        <v>56</v>
      </c>
      <c r="AA113" t="s">
        <v>129</v>
      </c>
      <c r="AB113" t="s">
        <v>61</v>
      </c>
      <c r="AC113" t="s">
        <v>54</v>
      </c>
      <c r="AD113" t="s">
        <v>94</v>
      </c>
      <c r="AE113">
        <v>22623300</v>
      </c>
      <c r="AF113">
        <v>17100000</v>
      </c>
      <c r="AG113">
        <v>5523300</v>
      </c>
      <c r="AH113" t="b">
        <v>1</v>
      </c>
      <c r="AI113" t="b">
        <v>1</v>
      </c>
      <c r="AJ113">
        <v>0</v>
      </c>
      <c r="AK113">
        <v>1</v>
      </c>
      <c r="AL113" t="b">
        <v>1</v>
      </c>
      <c r="AM113" t="b">
        <v>0</v>
      </c>
      <c r="AN113">
        <v>22623300</v>
      </c>
      <c r="AO113">
        <v>5523300</v>
      </c>
      <c r="AP113">
        <v>19</v>
      </c>
      <c r="AQ113">
        <v>21</v>
      </c>
      <c r="AR113">
        <v>0</v>
      </c>
      <c r="AS113">
        <v>1</v>
      </c>
      <c r="AT113">
        <v>0</v>
      </c>
      <c r="AU113">
        <v>5523300</v>
      </c>
    </row>
    <row r="114" spans="1:47" x14ac:dyDescent="0.3">
      <c r="A114" s="1">
        <v>46065</v>
      </c>
      <c r="B114" t="s">
        <v>358</v>
      </c>
      <c r="C114">
        <v>3</v>
      </c>
      <c r="D114" t="s">
        <v>229</v>
      </c>
      <c r="E114" t="s">
        <v>105</v>
      </c>
      <c r="F114" t="s">
        <v>50</v>
      </c>
      <c r="G114">
        <v>28</v>
      </c>
      <c r="H114">
        <v>28</v>
      </c>
      <c r="I114">
        <v>212000</v>
      </c>
      <c r="J114">
        <v>0.1</v>
      </c>
      <c r="K114" t="s">
        <v>51</v>
      </c>
      <c r="L114" s="1">
        <v>46075</v>
      </c>
      <c r="M114" s="1">
        <v>46076</v>
      </c>
      <c r="N114" t="s">
        <v>52</v>
      </c>
      <c r="P114">
        <v>112</v>
      </c>
      <c r="Q114" t="s">
        <v>231</v>
      </c>
      <c r="R114" t="s">
        <v>83</v>
      </c>
      <c r="S114" t="s">
        <v>123</v>
      </c>
      <c r="T114" t="s">
        <v>56</v>
      </c>
      <c r="U114" t="s">
        <v>108</v>
      </c>
      <c r="V114" t="s">
        <v>109</v>
      </c>
      <c r="W114" t="s">
        <v>110</v>
      </c>
      <c r="X114">
        <v>180000</v>
      </c>
      <c r="Y114">
        <v>212000</v>
      </c>
      <c r="Z114" t="s">
        <v>56</v>
      </c>
      <c r="AA114" t="s">
        <v>73</v>
      </c>
      <c r="AB114" t="s">
        <v>61</v>
      </c>
      <c r="AC114" t="s">
        <v>54</v>
      </c>
      <c r="AD114" t="s">
        <v>158</v>
      </c>
      <c r="AE114">
        <v>5342400</v>
      </c>
      <c r="AF114">
        <v>5040000</v>
      </c>
      <c r="AG114">
        <v>302400</v>
      </c>
      <c r="AH114" t="b">
        <v>1</v>
      </c>
      <c r="AI114" t="b">
        <v>1</v>
      </c>
      <c r="AJ114">
        <v>0</v>
      </c>
      <c r="AK114">
        <v>1</v>
      </c>
      <c r="AL114" t="b">
        <v>1</v>
      </c>
      <c r="AM114" t="b">
        <v>0</v>
      </c>
      <c r="AN114">
        <v>5342400</v>
      </c>
      <c r="AO114">
        <v>302400</v>
      </c>
      <c r="AP114">
        <v>28</v>
      </c>
      <c r="AQ114">
        <v>28</v>
      </c>
      <c r="AR114">
        <v>0</v>
      </c>
      <c r="AS114">
        <v>1</v>
      </c>
      <c r="AT114">
        <v>0</v>
      </c>
      <c r="AU114">
        <v>302400</v>
      </c>
    </row>
    <row r="115" spans="1:47" x14ac:dyDescent="0.3">
      <c r="A115" s="1">
        <v>46154</v>
      </c>
      <c r="B115" t="s">
        <v>359</v>
      </c>
      <c r="C115">
        <v>1</v>
      </c>
      <c r="D115" t="s">
        <v>250</v>
      </c>
      <c r="E115" t="s">
        <v>160</v>
      </c>
      <c r="F115" t="s">
        <v>114</v>
      </c>
      <c r="G115">
        <v>9</v>
      </c>
      <c r="H115">
        <v>9</v>
      </c>
      <c r="I115">
        <v>1125000</v>
      </c>
      <c r="J115">
        <v>0.02</v>
      </c>
      <c r="K115" t="s">
        <v>51</v>
      </c>
      <c r="L115" s="1">
        <v>46159</v>
      </c>
      <c r="M115" s="1">
        <v>46161</v>
      </c>
      <c r="N115" t="s">
        <v>106</v>
      </c>
      <c r="P115">
        <v>113</v>
      </c>
      <c r="Q115" t="s">
        <v>251</v>
      </c>
      <c r="R115" t="s">
        <v>54</v>
      </c>
      <c r="S115" t="s">
        <v>123</v>
      </c>
      <c r="T115" t="s">
        <v>56</v>
      </c>
      <c r="U115" t="s">
        <v>161</v>
      </c>
      <c r="V115" t="s">
        <v>86</v>
      </c>
      <c r="W115" t="s">
        <v>87</v>
      </c>
      <c r="X115">
        <v>900000</v>
      </c>
      <c r="Y115">
        <v>1125000</v>
      </c>
      <c r="Z115" t="s">
        <v>56</v>
      </c>
      <c r="AA115" t="s">
        <v>60</v>
      </c>
      <c r="AB115" t="s">
        <v>117</v>
      </c>
      <c r="AC115" t="s">
        <v>83</v>
      </c>
      <c r="AD115" t="s">
        <v>76</v>
      </c>
      <c r="AE115">
        <v>9922500</v>
      </c>
      <c r="AF115">
        <v>8100000</v>
      </c>
      <c r="AG115">
        <v>1822500</v>
      </c>
      <c r="AH115" t="b">
        <v>1</v>
      </c>
      <c r="AI115" t="b">
        <v>1</v>
      </c>
      <c r="AJ115">
        <v>0</v>
      </c>
      <c r="AK115">
        <v>2</v>
      </c>
      <c r="AL115" t="b">
        <v>1</v>
      </c>
      <c r="AM115" t="b">
        <v>0</v>
      </c>
      <c r="AN115">
        <v>9922500</v>
      </c>
      <c r="AO115">
        <v>1822500</v>
      </c>
      <c r="AP115">
        <v>9</v>
      </c>
      <c r="AQ115">
        <v>9</v>
      </c>
      <c r="AR115">
        <v>0</v>
      </c>
      <c r="AS115">
        <v>1</v>
      </c>
      <c r="AT115">
        <v>0</v>
      </c>
      <c r="AU115">
        <v>1822500</v>
      </c>
    </row>
    <row r="116" spans="1:47" x14ac:dyDescent="0.3">
      <c r="A116" s="1">
        <v>46177</v>
      </c>
      <c r="B116" t="s">
        <v>165</v>
      </c>
      <c r="C116">
        <v>4</v>
      </c>
      <c r="D116" t="s">
        <v>300</v>
      </c>
      <c r="E116" t="s">
        <v>242</v>
      </c>
      <c r="F116" t="s">
        <v>66</v>
      </c>
      <c r="G116">
        <v>5</v>
      </c>
      <c r="H116">
        <v>5</v>
      </c>
      <c r="I116">
        <v>1620000</v>
      </c>
      <c r="J116">
        <v>0.05</v>
      </c>
      <c r="K116" t="s">
        <v>51</v>
      </c>
      <c r="L116" s="1">
        <v>46180</v>
      </c>
      <c r="M116" s="1">
        <v>46183</v>
      </c>
      <c r="N116" t="s">
        <v>52</v>
      </c>
      <c r="P116">
        <v>114</v>
      </c>
      <c r="Q116" t="s">
        <v>301</v>
      </c>
      <c r="R116" t="s">
        <v>83</v>
      </c>
      <c r="S116" t="s">
        <v>123</v>
      </c>
      <c r="T116" t="s">
        <v>56</v>
      </c>
      <c r="U116" t="s">
        <v>243</v>
      </c>
      <c r="V116" t="s">
        <v>71</v>
      </c>
      <c r="W116" t="s">
        <v>72</v>
      </c>
      <c r="X116">
        <v>1200000</v>
      </c>
      <c r="Y116">
        <v>1620000</v>
      </c>
      <c r="Z116" t="s">
        <v>56</v>
      </c>
      <c r="AA116" t="s">
        <v>73</v>
      </c>
      <c r="AB116" t="s">
        <v>74</v>
      </c>
      <c r="AC116" t="s">
        <v>75</v>
      </c>
      <c r="AD116" t="s">
        <v>118</v>
      </c>
      <c r="AE116">
        <v>7695000</v>
      </c>
      <c r="AF116">
        <v>6000000</v>
      </c>
      <c r="AG116">
        <v>1695000</v>
      </c>
      <c r="AH116" t="b">
        <v>1</v>
      </c>
      <c r="AI116" t="b">
        <v>1</v>
      </c>
      <c r="AJ116">
        <v>0</v>
      </c>
      <c r="AK116">
        <v>3</v>
      </c>
      <c r="AL116" t="b">
        <v>1</v>
      </c>
      <c r="AM116" t="b">
        <v>0</v>
      </c>
      <c r="AN116">
        <v>7695000</v>
      </c>
      <c r="AO116">
        <v>1695000</v>
      </c>
      <c r="AP116">
        <v>5</v>
      </c>
      <c r="AQ116">
        <v>5</v>
      </c>
      <c r="AR116">
        <v>0</v>
      </c>
      <c r="AS116">
        <v>1</v>
      </c>
      <c r="AT116">
        <v>0</v>
      </c>
      <c r="AU116">
        <v>1695000</v>
      </c>
    </row>
    <row r="117" spans="1:47" x14ac:dyDescent="0.3">
      <c r="A117" s="1">
        <v>46086</v>
      </c>
      <c r="B117" t="s">
        <v>47</v>
      </c>
      <c r="C117">
        <v>1</v>
      </c>
      <c r="D117" t="s">
        <v>269</v>
      </c>
      <c r="E117" t="s">
        <v>175</v>
      </c>
      <c r="F117" t="s">
        <v>66</v>
      </c>
      <c r="G117">
        <v>8</v>
      </c>
      <c r="H117">
        <v>6</v>
      </c>
      <c r="I117">
        <v>1098000</v>
      </c>
      <c r="J117">
        <v>0.05</v>
      </c>
      <c r="K117" t="s">
        <v>51</v>
      </c>
      <c r="L117" s="1">
        <v>46088</v>
      </c>
      <c r="M117" s="1">
        <v>46090</v>
      </c>
      <c r="N117" t="s">
        <v>52</v>
      </c>
      <c r="P117">
        <v>115</v>
      </c>
      <c r="Q117" t="s">
        <v>270</v>
      </c>
      <c r="R117" t="s">
        <v>83</v>
      </c>
      <c r="S117" t="s">
        <v>55</v>
      </c>
      <c r="T117" t="s">
        <v>56</v>
      </c>
      <c r="U117" t="s">
        <v>177</v>
      </c>
      <c r="V117" t="s">
        <v>101</v>
      </c>
      <c r="W117" t="s">
        <v>102</v>
      </c>
      <c r="X117">
        <v>900000</v>
      </c>
      <c r="Y117">
        <v>1098000</v>
      </c>
      <c r="Z117" t="s">
        <v>56</v>
      </c>
      <c r="AA117" t="s">
        <v>129</v>
      </c>
      <c r="AB117" t="s">
        <v>74</v>
      </c>
      <c r="AC117" t="s">
        <v>75</v>
      </c>
      <c r="AD117" t="s">
        <v>62</v>
      </c>
      <c r="AE117">
        <v>6258600</v>
      </c>
      <c r="AF117">
        <v>5400000</v>
      </c>
      <c r="AG117">
        <v>858600</v>
      </c>
      <c r="AH117" t="b">
        <v>1</v>
      </c>
      <c r="AI117" t="b">
        <v>1</v>
      </c>
      <c r="AJ117">
        <v>0</v>
      </c>
      <c r="AK117">
        <v>2</v>
      </c>
      <c r="AL117" t="b">
        <v>1</v>
      </c>
      <c r="AM117" t="b">
        <v>0</v>
      </c>
      <c r="AN117">
        <v>6258600</v>
      </c>
      <c r="AO117">
        <v>858600</v>
      </c>
      <c r="AP117">
        <v>6</v>
      </c>
      <c r="AQ117">
        <v>8</v>
      </c>
      <c r="AR117">
        <v>0</v>
      </c>
      <c r="AS117">
        <v>1</v>
      </c>
      <c r="AT117">
        <v>0</v>
      </c>
      <c r="AU117">
        <v>858600</v>
      </c>
    </row>
    <row r="118" spans="1:47" x14ac:dyDescent="0.3">
      <c r="A118" s="1">
        <v>46200</v>
      </c>
      <c r="B118" t="s">
        <v>360</v>
      </c>
      <c r="C118">
        <v>2</v>
      </c>
      <c r="D118" t="s">
        <v>78</v>
      </c>
      <c r="E118" t="s">
        <v>348</v>
      </c>
      <c r="F118" t="s">
        <v>114</v>
      </c>
      <c r="G118">
        <v>29</v>
      </c>
      <c r="H118">
        <v>29</v>
      </c>
      <c r="I118">
        <v>566000</v>
      </c>
      <c r="J118">
        <v>0</v>
      </c>
      <c r="K118" t="s">
        <v>51</v>
      </c>
      <c r="L118" s="1">
        <v>46210</v>
      </c>
      <c r="M118" s="1">
        <v>46217</v>
      </c>
      <c r="N118" t="s">
        <v>52</v>
      </c>
      <c r="P118">
        <v>116</v>
      </c>
      <c r="Q118" t="s">
        <v>82</v>
      </c>
      <c r="R118" t="s">
        <v>83</v>
      </c>
      <c r="S118" t="s">
        <v>84</v>
      </c>
      <c r="T118" t="s">
        <v>56</v>
      </c>
      <c r="U118" t="s">
        <v>349</v>
      </c>
      <c r="V118" t="s">
        <v>109</v>
      </c>
      <c r="W118" t="s">
        <v>110</v>
      </c>
      <c r="X118">
        <v>480000</v>
      </c>
      <c r="Y118">
        <v>566000</v>
      </c>
      <c r="Z118" t="s">
        <v>56</v>
      </c>
      <c r="AA118" t="s">
        <v>60</v>
      </c>
      <c r="AB118" t="s">
        <v>117</v>
      </c>
      <c r="AC118" t="s">
        <v>83</v>
      </c>
      <c r="AD118" t="s">
        <v>118</v>
      </c>
      <c r="AE118">
        <v>16414000</v>
      </c>
      <c r="AF118">
        <v>13920000</v>
      </c>
      <c r="AG118">
        <v>2494000</v>
      </c>
      <c r="AH118" t="b">
        <v>1</v>
      </c>
      <c r="AI118" t="b">
        <v>1</v>
      </c>
      <c r="AJ118">
        <v>0</v>
      </c>
      <c r="AK118">
        <v>7</v>
      </c>
      <c r="AL118" t="b">
        <v>1</v>
      </c>
      <c r="AM118" t="b">
        <v>0</v>
      </c>
      <c r="AN118">
        <v>16414000</v>
      </c>
      <c r="AO118">
        <v>2494000</v>
      </c>
      <c r="AP118">
        <v>29</v>
      </c>
      <c r="AQ118">
        <v>29</v>
      </c>
      <c r="AR118">
        <v>0</v>
      </c>
      <c r="AS118">
        <v>1</v>
      </c>
      <c r="AT118">
        <v>0</v>
      </c>
      <c r="AU118">
        <v>2494000</v>
      </c>
    </row>
    <row r="119" spans="1:47" x14ac:dyDescent="0.3">
      <c r="A119" s="1">
        <v>46193</v>
      </c>
      <c r="B119" t="s">
        <v>361</v>
      </c>
      <c r="C119">
        <v>1</v>
      </c>
      <c r="D119" t="s">
        <v>48</v>
      </c>
      <c r="E119" t="s">
        <v>189</v>
      </c>
      <c r="F119" t="s">
        <v>50</v>
      </c>
      <c r="G119">
        <v>20</v>
      </c>
      <c r="H119">
        <v>0</v>
      </c>
      <c r="I119">
        <v>312000</v>
      </c>
      <c r="J119">
        <v>0.1</v>
      </c>
      <c r="K119" t="s">
        <v>127</v>
      </c>
      <c r="L119" s="1">
        <v>46203</v>
      </c>
      <c r="N119" t="s">
        <v>81</v>
      </c>
      <c r="P119">
        <v>117</v>
      </c>
      <c r="Q119" t="s">
        <v>53</v>
      </c>
      <c r="R119" t="s">
        <v>54</v>
      </c>
      <c r="S119" t="s">
        <v>55</v>
      </c>
      <c r="T119" t="s">
        <v>56</v>
      </c>
      <c r="U119" t="s">
        <v>191</v>
      </c>
      <c r="V119" t="s">
        <v>86</v>
      </c>
      <c r="W119" t="s">
        <v>87</v>
      </c>
      <c r="X119">
        <v>250000</v>
      </c>
      <c r="Y119">
        <v>312000</v>
      </c>
      <c r="Z119" t="s">
        <v>134</v>
      </c>
      <c r="AA119" t="s">
        <v>73</v>
      </c>
      <c r="AB119" t="s">
        <v>61</v>
      </c>
      <c r="AC119" t="s">
        <v>54</v>
      </c>
      <c r="AD119" t="s">
        <v>118</v>
      </c>
      <c r="AE119">
        <v>0</v>
      </c>
      <c r="AG119">
        <v>0</v>
      </c>
      <c r="AH119" t="b">
        <v>1</v>
      </c>
      <c r="AI119" t="b">
        <v>0</v>
      </c>
      <c r="AL119" t="b">
        <v>0</v>
      </c>
      <c r="AM119" t="b">
        <v>0</v>
      </c>
      <c r="AN119">
        <v>0</v>
      </c>
      <c r="AO119">
        <v>0</v>
      </c>
      <c r="AP119">
        <v>0</v>
      </c>
      <c r="AQ119">
        <v>0</v>
      </c>
      <c r="AR119">
        <v>0</v>
      </c>
      <c r="AS119">
        <v>0</v>
      </c>
      <c r="AT119">
        <v>0</v>
      </c>
      <c r="AU119">
        <v>0</v>
      </c>
    </row>
    <row r="120" spans="1:47" x14ac:dyDescent="0.3">
      <c r="A120" s="1">
        <v>46115</v>
      </c>
      <c r="B120" t="s">
        <v>362</v>
      </c>
      <c r="C120">
        <v>2</v>
      </c>
      <c r="D120" t="s">
        <v>78</v>
      </c>
      <c r="E120" t="s">
        <v>147</v>
      </c>
      <c r="F120" t="s">
        <v>80</v>
      </c>
      <c r="G120">
        <v>16</v>
      </c>
      <c r="H120">
        <v>0</v>
      </c>
      <c r="I120">
        <v>614000</v>
      </c>
      <c r="J120">
        <v>0.02</v>
      </c>
      <c r="K120" t="s">
        <v>98</v>
      </c>
      <c r="L120" s="1">
        <v>46122</v>
      </c>
      <c r="N120" t="s">
        <v>52</v>
      </c>
      <c r="P120">
        <v>118</v>
      </c>
      <c r="Q120" t="s">
        <v>82</v>
      </c>
      <c r="R120" t="s">
        <v>83</v>
      </c>
      <c r="S120" t="s">
        <v>84</v>
      </c>
      <c r="T120" t="s">
        <v>56</v>
      </c>
      <c r="U120" t="s">
        <v>149</v>
      </c>
      <c r="V120" t="s">
        <v>138</v>
      </c>
      <c r="W120" t="s">
        <v>139</v>
      </c>
      <c r="X120">
        <v>480000</v>
      </c>
      <c r="Y120">
        <v>614000</v>
      </c>
      <c r="Z120" t="s">
        <v>56</v>
      </c>
      <c r="AA120" t="s">
        <v>129</v>
      </c>
      <c r="AB120" t="s">
        <v>88</v>
      </c>
      <c r="AC120" t="s">
        <v>83</v>
      </c>
      <c r="AD120" t="s">
        <v>130</v>
      </c>
      <c r="AE120">
        <v>0</v>
      </c>
      <c r="AF120">
        <v>0</v>
      </c>
      <c r="AG120">
        <v>0</v>
      </c>
      <c r="AH120" t="b">
        <v>1</v>
      </c>
      <c r="AI120" t="b">
        <v>0</v>
      </c>
      <c r="AL120" t="b">
        <v>1</v>
      </c>
      <c r="AM120" t="b">
        <v>0</v>
      </c>
      <c r="AN120">
        <v>0</v>
      </c>
      <c r="AO120">
        <v>0</v>
      </c>
      <c r="AP120">
        <v>0</v>
      </c>
      <c r="AQ120">
        <v>16</v>
      </c>
      <c r="AR120">
        <v>0</v>
      </c>
      <c r="AS120">
        <v>0</v>
      </c>
      <c r="AT120">
        <v>0</v>
      </c>
      <c r="AU120">
        <v>0</v>
      </c>
    </row>
    <row r="121" spans="1:47" x14ac:dyDescent="0.3">
      <c r="A121" s="1">
        <v>46142</v>
      </c>
      <c r="B121" t="s">
        <v>363</v>
      </c>
      <c r="C121">
        <v>2</v>
      </c>
      <c r="D121" t="s">
        <v>262</v>
      </c>
      <c r="E121" t="s">
        <v>65</v>
      </c>
      <c r="F121" t="s">
        <v>114</v>
      </c>
      <c r="G121">
        <v>20</v>
      </c>
      <c r="H121">
        <v>17</v>
      </c>
      <c r="I121">
        <v>2430000</v>
      </c>
      <c r="J121">
        <v>0.05</v>
      </c>
      <c r="K121" t="s">
        <v>51</v>
      </c>
      <c r="L121" s="1">
        <v>46149</v>
      </c>
      <c r="M121" s="1">
        <v>46150</v>
      </c>
      <c r="N121" t="s">
        <v>67</v>
      </c>
      <c r="P121">
        <v>119</v>
      </c>
      <c r="Q121" t="s">
        <v>263</v>
      </c>
      <c r="R121" t="s">
        <v>83</v>
      </c>
      <c r="S121" t="s">
        <v>55</v>
      </c>
      <c r="T121" t="s">
        <v>56</v>
      </c>
      <c r="U121" t="s">
        <v>70</v>
      </c>
      <c r="V121" t="s">
        <v>71</v>
      </c>
      <c r="W121" t="s">
        <v>72</v>
      </c>
      <c r="X121">
        <v>1800000</v>
      </c>
      <c r="Y121">
        <v>2430000</v>
      </c>
      <c r="Z121" t="s">
        <v>56</v>
      </c>
      <c r="AA121" t="s">
        <v>73</v>
      </c>
      <c r="AB121" t="s">
        <v>117</v>
      </c>
      <c r="AC121" t="s">
        <v>83</v>
      </c>
      <c r="AD121" t="s">
        <v>130</v>
      </c>
      <c r="AE121">
        <v>39244500</v>
      </c>
      <c r="AF121">
        <v>30600000</v>
      </c>
      <c r="AG121">
        <v>8644500</v>
      </c>
      <c r="AH121" t="b">
        <v>1</v>
      </c>
      <c r="AI121" t="b">
        <v>1</v>
      </c>
      <c r="AJ121">
        <v>0</v>
      </c>
      <c r="AK121">
        <v>1</v>
      </c>
      <c r="AL121" t="b">
        <v>1</v>
      </c>
      <c r="AM121" t="b">
        <v>0</v>
      </c>
      <c r="AN121">
        <v>39244500</v>
      </c>
      <c r="AO121">
        <v>8644500</v>
      </c>
      <c r="AP121">
        <v>17</v>
      </c>
      <c r="AQ121">
        <v>20</v>
      </c>
      <c r="AR121">
        <v>0</v>
      </c>
      <c r="AS121">
        <v>1</v>
      </c>
      <c r="AT121">
        <v>0</v>
      </c>
      <c r="AU121">
        <v>8644500</v>
      </c>
    </row>
    <row r="122" spans="1:47" x14ac:dyDescent="0.3">
      <c r="A122" s="1">
        <v>46170</v>
      </c>
      <c r="B122" t="s">
        <v>364</v>
      </c>
      <c r="C122">
        <v>2</v>
      </c>
      <c r="D122" t="s">
        <v>194</v>
      </c>
      <c r="E122" t="s">
        <v>79</v>
      </c>
      <c r="F122" t="s">
        <v>66</v>
      </c>
      <c r="G122">
        <v>30</v>
      </c>
      <c r="H122">
        <v>30</v>
      </c>
      <c r="I122">
        <v>150000</v>
      </c>
      <c r="J122">
        <v>0.08</v>
      </c>
      <c r="K122" t="s">
        <v>51</v>
      </c>
      <c r="L122" s="1">
        <v>46180</v>
      </c>
      <c r="M122" s="1">
        <v>46182</v>
      </c>
      <c r="N122" t="s">
        <v>81</v>
      </c>
      <c r="P122">
        <v>120</v>
      </c>
      <c r="Q122" t="s">
        <v>195</v>
      </c>
      <c r="R122" t="s">
        <v>54</v>
      </c>
      <c r="S122" t="s">
        <v>123</v>
      </c>
      <c r="T122" t="s">
        <v>56</v>
      </c>
      <c r="U122" t="s">
        <v>85</v>
      </c>
      <c r="V122" t="s">
        <v>86</v>
      </c>
      <c r="W122" t="s">
        <v>87</v>
      </c>
      <c r="X122">
        <v>120000</v>
      </c>
      <c r="Y122">
        <v>150000</v>
      </c>
      <c r="Z122" t="s">
        <v>56</v>
      </c>
      <c r="AA122" t="s">
        <v>60</v>
      </c>
      <c r="AB122" t="s">
        <v>74</v>
      </c>
      <c r="AC122" t="s">
        <v>75</v>
      </c>
      <c r="AD122" t="s">
        <v>76</v>
      </c>
      <c r="AE122">
        <v>4140000</v>
      </c>
      <c r="AF122">
        <v>3600000</v>
      </c>
      <c r="AG122">
        <v>540000</v>
      </c>
      <c r="AH122" t="b">
        <v>1</v>
      </c>
      <c r="AI122" t="b">
        <v>1</v>
      </c>
      <c r="AJ122">
        <v>0</v>
      </c>
      <c r="AK122">
        <v>2</v>
      </c>
      <c r="AL122" t="b">
        <v>1</v>
      </c>
      <c r="AM122" t="b">
        <v>0</v>
      </c>
      <c r="AN122">
        <v>4140000</v>
      </c>
      <c r="AO122">
        <v>540000</v>
      </c>
      <c r="AP122">
        <v>30</v>
      </c>
      <c r="AQ122">
        <v>30</v>
      </c>
      <c r="AR122">
        <v>0</v>
      </c>
      <c r="AS122">
        <v>1</v>
      </c>
      <c r="AT122">
        <v>0</v>
      </c>
      <c r="AU122">
        <v>540000</v>
      </c>
    </row>
    <row r="123" spans="1:47" x14ac:dyDescent="0.3">
      <c r="A123" s="1">
        <v>46056</v>
      </c>
      <c r="B123" t="s">
        <v>365</v>
      </c>
      <c r="C123">
        <v>1</v>
      </c>
      <c r="D123" t="s">
        <v>78</v>
      </c>
      <c r="E123" t="s">
        <v>210</v>
      </c>
      <c r="F123" t="s">
        <v>80</v>
      </c>
      <c r="G123">
        <v>20</v>
      </c>
      <c r="H123">
        <v>18</v>
      </c>
      <c r="I123">
        <v>234000</v>
      </c>
      <c r="J123">
        <v>0</v>
      </c>
      <c r="K123" t="s">
        <v>51</v>
      </c>
      <c r="L123" s="1">
        <v>46059</v>
      </c>
      <c r="M123" s="1">
        <v>46061</v>
      </c>
      <c r="N123" t="s">
        <v>52</v>
      </c>
      <c r="P123">
        <v>121</v>
      </c>
      <c r="Q123" t="s">
        <v>82</v>
      </c>
      <c r="R123" t="s">
        <v>83</v>
      </c>
      <c r="S123" t="s">
        <v>84</v>
      </c>
      <c r="T123" t="s">
        <v>56</v>
      </c>
      <c r="U123" t="s">
        <v>212</v>
      </c>
      <c r="V123" t="s">
        <v>58</v>
      </c>
      <c r="W123" t="s">
        <v>59</v>
      </c>
      <c r="X123">
        <v>180000</v>
      </c>
      <c r="Y123">
        <v>234000</v>
      </c>
      <c r="Z123" t="s">
        <v>56</v>
      </c>
      <c r="AA123" t="s">
        <v>60</v>
      </c>
      <c r="AB123" t="s">
        <v>88</v>
      </c>
      <c r="AC123" t="s">
        <v>83</v>
      </c>
      <c r="AD123" t="s">
        <v>158</v>
      </c>
      <c r="AE123">
        <v>4212000</v>
      </c>
      <c r="AF123">
        <v>3240000</v>
      </c>
      <c r="AG123">
        <v>972000</v>
      </c>
      <c r="AH123" t="b">
        <v>1</v>
      </c>
      <c r="AI123" t="b">
        <v>1</v>
      </c>
      <c r="AJ123">
        <v>0</v>
      </c>
      <c r="AK123">
        <v>2</v>
      </c>
      <c r="AL123" t="b">
        <v>1</v>
      </c>
      <c r="AM123" t="b">
        <v>0</v>
      </c>
      <c r="AN123">
        <v>4212000</v>
      </c>
      <c r="AO123">
        <v>972000</v>
      </c>
      <c r="AP123">
        <v>18</v>
      </c>
      <c r="AQ123">
        <v>20</v>
      </c>
      <c r="AR123">
        <v>0</v>
      </c>
      <c r="AS123">
        <v>1</v>
      </c>
      <c r="AT123">
        <v>0</v>
      </c>
      <c r="AU123">
        <v>972000</v>
      </c>
    </row>
    <row r="124" spans="1:47" x14ac:dyDescent="0.3">
      <c r="A124" s="1">
        <v>46043</v>
      </c>
      <c r="B124" t="s">
        <v>366</v>
      </c>
      <c r="C124">
        <v>2</v>
      </c>
      <c r="D124" t="s">
        <v>48</v>
      </c>
      <c r="E124" t="s">
        <v>113</v>
      </c>
      <c r="F124" t="s">
        <v>80</v>
      </c>
      <c r="G124">
        <v>20</v>
      </c>
      <c r="H124">
        <v>19</v>
      </c>
      <c r="I124">
        <v>648000</v>
      </c>
      <c r="J124">
        <v>0.1</v>
      </c>
      <c r="K124" t="s">
        <v>51</v>
      </c>
      <c r="L124" s="1">
        <v>46045</v>
      </c>
      <c r="M124" s="1">
        <v>46047</v>
      </c>
      <c r="N124" t="s">
        <v>81</v>
      </c>
      <c r="P124">
        <v>122</v>
      </c>
      <c r="Q124" t="s">
        <v>53</v>
      </c>
      <c r="R124" t="s">
        <v>54</v>
      </c>
      <c r="S124" t="s">
        <v>55</v>
      </c>
      <c r="T124" t="s">
        <v>56</v>
      </c>
      <c r="U124" t="s">
        <v>116</v>
      </c>
      <c r="V124" t="s">
        <v>71</v>
      </c>
      <c r="W124" t="s">
        <v>72</v>
      </c>
      <c r="X124">
        <v>480000</v>
      </c>
      <c r="Y124">
        <v>648000</v>
      </c>
      <c r="Z124" t="s">
        <v>56</v>
      </c>
      <c r="AA124" t="s">
        <v>60</v>
      </c>
      <c r="AB124" t="s">
        <v>88</v>
      </c>
      <c r="AC124" t="s">
        <v>83</v>
      </c>
      <c r="AD124" t="s">
        <v>94</v>
      </c>
      <c r="AE124">
        <v>11080800</v>
      </c>
      <c r="AF124">
        <v>9120000</v>
      </c>
      <c r="AG124">
        <v>1960800</v>
      </c>
      <c r="AH124" t="b">
        <v>1</v>
      </c>
      <c r="AI124" t="b">
        <v>1</v>
      </c>
      <c r="AJ124">
        <v>0</v>
      </c>
      <c r="AK124">
        <v>2</v>
      </c>
      <c r="AL124" t="b">
        <v>1</v>
      </c>
      <c r="AM124" t="b">
        <v>0</v>
      </c>
      <c r="AN124">
        <v>11080800</v>
      </c>
      <c r="AO124">
        <v>1960800</v>
      </c>
      <c r="AP124">
        <v>19</v>
      </c>
      <c r="AQ124">
        <v>20</v>
      </c>
      <c r="AR124">
        <v>0</v>
      </c>
      <c r="AS124">
        <v>1</v>
      </c>
      <c r="AT124">
        <v>0</v>
      </c>
      <c r="AU124">
        <v>1960800</v>
      </c>
    </row>
    <row r="125" spans="1:47" x14ac:dyDescent="0.3">
      <c r="A125" s="1">
        <v>46066</v>
      </c>
      <c r="B125" t="s">
        <v>367</v>
      </c>
      <c r="C125">
        <v>1</v>
      </c>
      <c r="D125" t="s">
        <v>333</v>
      </c>
      <c r="E125" t="s">
        <v>65</v>
      </c>
      <c r="F125" t="s">
        <v>114</v>
      </c>
      <c r="G125">
        <v>17</v>
      </c>
      <c r="H125">
        <v>17</v>
      </c>
      <c r="I125">
        <v>2430000</v>
      </c>
      <c r="J125">
        <v>0.08</v>
      </c>
      <c r="K125" t="s">
        <v>51</v>
      </c>
      <c r="L125" s="1">
        <v>46076</v>
      </c>
      <c r="M125" s="1">
        <v>46075</v>
      </c>
      <c r="N125" t="s">
        <v>67</v>
      </c>
      <c r="P125">
        <v>123</v>
      </c>
      <c r="Q125" t="s">
        <v>334</v>
      </c>
      <c r="R125" t="s">
        <v>75</v>
      </c>
      <c r="S125" t="s">
        <v>123</v>
      </c>
      <c r="T125" t="s">
        <v>56</v>
      </c>
      <c r="U125" t="s">
        <v>70</v>
      </c>
      <c r="V125" t="s">
        <v>71</v>
      </c>
      <c r="W125" t="s">
        <v>72</v>
      </c>
      <c r="X125">
        <v>1800000</v>
      </c>
      <c r="Y125">
        <v>2430000</v>
      </c>
      <c r="Z125" t="s">
        <v>56</v>
      </c>
      <c r="AA125" t="s">
        <v>73</v>
      </c>
      <c r="AB125" t="s">
        <v>117</v>
      </c>
      <c r="AC125" t="s">
        <v>83</v>
      </c>
      <c r="AD125" t="s">
        <v>158</v>
      </c>
      <c r="AE125">
        <v>38005200</v>
      </c>
      <c r="AF125">
        <v>30600000</v>
      </c>
      <c r="AG125">
        <v>7405200</v>
      </c>
      <c r="AH125" t="b">
        <v>1</v>
      </c>
      <c r="AI125" t="b">
        <v>1</v>
      </c>
      <c r="AJ125">
        <v>1</v>
      </c>
      <c r="AK125">
        <v>-1</v>
      </c>
      <c r="AL125" t="b">
        <v>1</v>
      </c>
      <c r="AM125" t="b">
        <v>0</v>
      </c>
      <c r="AN125">
        <v>38005200</v>
      </c>
      <c r="AO125">
        <v>7405200</v>
      </c>
      <c r="AP125">
        <v>17</v>
      </c>
      <c r="AQ125">
        <v>17</v>
      </c>
      <c r="AR125">
        <v>1</v>
      </c>
      <c r="AS125">
        <v>1</v>
      </c>
      <c r="AT125">
        <v>0</v>
      </c>
      <c r="AU125">
        <v>7405200</v>
      </c>
    </row>
    <row r="126" spans="1:47" x14ac:dyDescent="0.3">
      <c r="A126" s="1">
        <v>46183</v>
      </c>
      <c r="B126" t="s">
        <v>368</v>
      </c>
      <c r="C126">
        <v>3</v>
      </c>
      <c r="D126" t="s">
        <v>330</v>
      </c>
      <c r="E126" t="s">
        <v>273</v>
      </c>
      <c r="F126" t="s">
        <v>80</v>
      </c>
      <c r="G126">
        <v>26</v>
      </c>
      <c r="H126">
        <v>25</v>
      </c>
      <c r="I126">
        <v>2304000</v>
      </c>
      <c r="J126">
        <v>0</v>
      </c>
      <c r="K126" t="s">
        <v>51</v>
      </c>
      <c r="L126" s="1">
        <v>46185</v>
      </c>
      <c r="M126" s="1">
        <v>46186</v>
      </c>
      <c r="N126" t="s">
        <v>67</v>
      </c>
      <c r="P126">
        <v>124</v>
      </c>
      <c r="Q126" t="s">
        <v>331</v>
      </c>
      <c r="R126" t="s">
        <v>83</v>
      </c>
      <c r="S126" t="s">
        <v>55</v>
      </c>
      <c r="T126" t="s">
        <v>56</v>
      </c>
      <c r="U126" t="s">
        <v>274</v>
      </c>
      <c r="V126" t="s">
        <v>138</v>
      </c>
      <c r="W126" t="s">
        <v>139</v>
      </c>
      <c r="X126">
        <v>1800000</v>
      </c>
      <c r="Y126">
        <v>2304000</v>
      </c>
      <c r="Z126" t="s">
        <v>56</v>
      </c>
      <c r="AA126" t="s">
        <v>73</v>
      </c>
      <c r="AB126" t="s">
        <v>88</v>
      </c>
      <c r="AC126" t="s">
        <v>83</v>
      </c>
      <c r="AD126" t="s">
        <v>118</v>
      </c>
      <c r="AE126">
        <v>57600000</v>
      </c>
      <c r="AF126">
        <v>45000000</v>
      </c>
      <c r="AG126">
        <v>12600000</v>
      </c>
      <c r="AH126" t="b">
        <v>1</v>
      </c>
      <c r="AI126" t="b">
        <v>1</v>
      </c>
      <c r="AJ126">
        <v>0</v>
      </c>
      <c r="AK126">
        <v>1</v>
      </c>
      <c r="AL126" t="b">
        <v>1</v>
      </c>
      <c r="AM126" t="b">
        <v>0</v>
      </c>
      <c r="AN126">
        <v>57600000</v>
      </c>
      <c r="AO126">
        <v>12600000</v>
      </c>
      <c r="AP126">
        <v>25</v>
      </c>
      <c r="AQ126">
        <v>26</v>
      </c>
      <c r="AR126">
        <v>0</v>
      </c>
      <c r="AS126">
        <v>1</v>
      </c>
      <c r="AT126">
        <v>0</v>
      </c>
      <c r="AU126">
        <v>12600000</v>
      </c>
    </row>
    <row r="127" spans="1:47" x14ac:dyDescent="0.3">
      <c r="A127" s="1">
        <v>46146</v>
      </c>
      <c r="B127" t="s">
        <v>369</v>
      </c>
      <c r="C127">
        <v>2</v>
      </c>
      <c r="D127" t="s">
        <v>112</v>
      </c>
      <c r="E127" t="s">
        <v>49</v>
      </c>
      <c r="F127" t="s">
        <v>50</v>
      </c>
      <c r="G127">
        <v>21</v>
      </c>
      <c r="H127">
        <v>11</v>
      </c>
      <c r="I127">
        <v>1170000</v>
      </c>
      <c r="J127">
        <v>0.05</v>
      </c>
      <c r="K127" t="s">
        <v>98</v>
      </c>
      <c r="L127" s="1">
        <v>46148</v>
      </c>
      <c r="N127" t="s">
        <v>52</v>
      </c>
      <c r="P127">
        <v>125</v>
      </c>
      <c r="Q127" t="s">
        <v>115</v>
      </c>
      <c r="R127" t="s">
        <v>75</v>
      </c>
      <c r="S127" t="s">
        <v>55</v>
      </c>
      <c r="T127" t="s">
        <v>56</v>
      </c>
      <c r="U127" t="s">
        <v>57</v>
      </c>
      <c r="V127" t="s">
        <v>58</v>
      </c>
      <c r="W127" t="s">
        <v>59</v>
      </c>
      <c r="X127">
        <v>900000</v>
      </c>
      <c r="Y127">
        <v>1170000</v>
      </c>
      <c r="Z127" t="s">
        <v>56</v>
      </c>
      <c r="AA127" t="s">
        <v>60</v>
      </c>
      <c r="AB127" t="s">
        <v>61</v>
      </c>
      <c r="AC127" t="s">
        <v>54</v>
      </c>
      <c r="AD127" t="s">
        <v>76</v>
      </c>
      <c r="AE127">
        <v>12226500</v>
      </c>
      <c r="AF127">
        <v>9900000</v>
      </c>
      <c r="AG127">
        <v>2326500</v>
      </c>
      <c r="AH127" t="b">
        <v>1</v>
      </c>
      <c r="AI127" t="b">
        <v>0</v>
      </c>
      <c r="AL127" t="b">
        <v>1</v>
      </c>
      <c r="AM127" t="b">
        <v>0</v>
      </c>
      <c r="AN127">
        <v>12226500</v>
      </c>
      <c r="AO127">
        <v>2326500</v>
      </c>
      <c r="AP127">
        <v>11</v>
      </c>
      <c r="AQ127">
        <v>21</v>
      </c>
      <c r="AR127">
        <v>0</v>
      </c>
      <c r="AS127">
        <v>0</v>
      </c>
      <c r="AT127">
        <v>0</v>
      </c>
      <c r="AU127">
        <v>2326500</v>
      </c>
    </row>
    <row r="128" spans="1:47" x14ac:dyDescent="0.3">
      <c r="A128" s="1">
        <v>46154</v>
      </c>
      <c r="B128" t="s">
        <v>370</v>
      </c>
      <c r="C128">
        <v>1</v>
      </c>
      <c r="D128" t="s">
        <v>194</v>
      </c>
      <c r="E128" t="s">
        <v>152</v>
      </c>
      <c r="F128" t="s">
        <v>66</v>
      </c>
      <c r="G128">
        <v>8</v>
      </c>
      <c r="H128">
        <v>8</v>
      </c>
      <c r="I128">
        <v>845000</v>
      </c>
      <c r="J128">
        <v>0</v>
      </c>
      <c r="K128" t="s">
        <v>51</v>
      </c>
      <c r="L128" s="1">
        <v>46155</v>
      </c>
      <c r="M128" s="1">
        <v>46155</v>
      </c>
      <c r="N128" t="s">
        <v>67</v>
      </c>
      <c r="P128">
        <v>126</v>
      </c>
      <c r="Q128" t="s">
        <v>195</v>
      </c>
      <c r="R128" t="s">
        <v>54</v>
      </c>
      <c r="S128" t="s">
        <v>123</v>
      </c>
      <c r="T128" t="s">
        <v>56</v>
      </c>
      <c r="U128" t="s">
        <v>154</v>
      </c>
      <c r="V128" t="s">
        <v>58</v>
      </c>
      <c r="W128" t="s">
        <v>59</v>
      </c>
      <c r="X128">
        <v>650000</v>
      </c>
      <c r="Y128">
        <v>845000</v>
      </c>
      <c r="Z128" t="s">
        <v>56</v>
      </c>
      <c r="AA128" t="s">
        <v>73</v>
      </c>
      <c r="AB128" t="s">
        <v>74</v>
      </c>
      <c r="AC128" t="s">
        <v>75</v>
      </c>
      <c r="AD128" t="s">
        <v>76</v>
      </c>
      <c r="AE128">
        <v>6760000</v>
      </c>
      <c r="AF128">
        <v>5200000</v>
      </c>
      <c r="AG128">
        <v>1560000</v>
      </c>
      <c r="AH128" t="b">
        <v>1</v>
      </c>
      <c r="AI128" t="b">
        <v>1</v>
      </c>
      <c r="AJ128">
        <v>1</v>
      </c>
      <c r="AK128">
        <v>0</v>
      </c>
      <c r="AL128" t="b">
        <v>1</v>
      </c>
      <c r="AM128" t="b">
        <v>0</v>
      </c>
      <c r="AN128">
        <v>6760000</v>
      </c>
      <c r="AO128">
        <v>1560000</v>
      </c>
      <c r="AP128">
        <v>8</v>
      </c>
      <c r="AQ128">
        <v>8</v>
      </c>
      <c r="AR128">
        <v>1</v>
      </c>
      <c r="AS128">
        <v>1</v>
      </c>
      <c r="AT128">
        <v>0</v>
      </c>
      <c r="AU128">
        <v>1560000</v>
      </c>
    </row>
    <row r="129" spans="1:47" x14ac:dyDescent="0.3">
      <c r="A129" s="1">
        <v>46180</v>
      </c>
      <c r="B129" t="s">
        <v>371</v>
      </c>
      <c r="C129">
        <v>2</v>
      </c>
      <c r="D129" t="s">
        <v>344</v>
      </c>
      <c r="E129" t="s">
        <v>132</v>
      </c>
      <c r="F129" t="s">
        <v>50</v>
      </c>
      <c r="G129">
        <v>13</v>
      </c>
      <c r="H129">
        <v>7</v>
      </c>
      <c r="I129">
        <v>413000</v>
      </c>
      <c r="J129">
        <v>0.08</v>
      </c>
      <c r="K129" t="s">
        <v>98</v>
      </c>
      <c r="L129" s="1">
        <v>46185</v>
      </c>
      <c r="N129" t="s">
        <v>67</v>
      </c>
      <c r="P129">
        <v>127</v>
      </c>
      <c r="Q129" t="s">
        <v>345</v>
      </c>
      <c r="R129" t="s">
        <v>54</v>
      </c>
      <c r="S129" t="s">
        <v>84</v>
      </c>
      <c r="T129" t="s">
        <v>56</v>
      </c>
      <c r="U129" t="s">
        <v>133</v>
      </c>
      <c r="V129" t="s">
        <v>109</v>
      </c>
      <c r="W129" t="s">
        <v>110</v>
      </c>
      <c r="X129">
        <v>350000</v>
      </c>
      <c r="Y129">
        <v>413000</v>
      </c>
      <c r="Z129" t="s">
        <v>134</v>
      </c>
      <c r="AA129" t="s">
        <v>73</v>
      </c>
      <c r="AB129" t="s">
        <v>61</v>
      </c>
      <c r="AC129" t="s">
        <v>54</v>
      </c>
      <c r="AD129" t="s">
        <v>118</v>
      </c>
      <c r="AE129">
        <v>2659720</v>
      </c>
      <c r="AF129">
        <v>2450000</v>
      </c>
      <c r="AG129">
        <v>209720</v>
      </c>
      <c r="AH129" t="b">
        <v>1</v>
      </c>
      <c r="AI129" t="b">
        <v>0</v>
      </c>
      <c r="AL129" t="b">
        <v>1</v>
      </c>
      <c r="AM129" t="b">
        <v>0</v>
      </c>
      <c r="AN129">
        <v>2659720</v>
      </c>
      <c r="AO129">
        <v>209720</v>
      </c>
      <c r="AP129">
        <v>7</v>
      </c>
      <c r="AQ129">
        <v>13</v>
      </c>
      <c r="AR129">
        <v>0</v>
      </c>
      <c r="AS129">
        <v>0</v>
      </c>
      <c r="AT129">
        <v>0</v>
      </c>
      <c r="AU129">
        <v>209720</v>
      </c>
    </row>
    <row r="130" spans="1:47" x14ac:dyDescent="0.3">
      <c r="A130" s="1">
        <v>46101</v>
      </c>
      <c r="B130" t="s">
        <v>372</v>
      </c>
      <c r="C130">
        <v>1</v>
      </c>
      <c r="D130" t="s">
        <v>200</v>
      </c>
      <c r="E130" t="s">
        <v>259</v>
      </c>
      <c r="F130" t="s">
        <v>66</v>
      </c>
      <c r="G130">
        <v>16</v>
      </c>
      <c r="H130">
        <v>16</v>
      </c>
      <c r="I130">
        <v>146000</v>
      </c>
      <c r="J130">
        <v>0</v>
      </c>
      <c r="K130" t="s">
        <v>51</v>
      </c>
      <c r="L130" s="1">
        <v>46104</v>
      </c>
      <c r="M130" s="1">
        <v>46105</v>
      </c>
      <c r="N130" t="s">
        <v>67</v>
      </c>
      <c r="P130">
        <v>128</v>
      </c>
      <c r="Q130" t="s">
        <v>201</v>
      </c>
      <c r="R130" t="s">
        <v>75</v>
      </c>
      <c r="S130" t="s">
        <v>55</v>
      </c>
      <c r="T130" t="s">
        <v>56</v>
      </c>
      <c r="U130" t="s">
        <v>260</v>
      </c>
      <c r="V130" t="s">
        <v>101</v>
      </c>
      <c r="W130" t="s">
        <v>102</v>
      </c>
      <c r="X130">
        <v>120000</v>
      </c>
      <c r="Y130">
        <v>146000</v>
      </c>
      <c r="Z130" t="s">
        <v>56</v>
      </c>
      <c r="AA130" t="s">
        <v>129</v>
      </c>
      <c r="AB130" t="s">
        <v>74</v>
      </c>
      <c r="AC130" t="s">
        <v>75</v>
      </c>
      <c r="AD130" t="s">
        <v>62</v>
      </c>
      <c r="AE130">
        <v>2336000</v>
      </c>
      <c r="AF130">
        <v>1920000</v>
      </c>
      <c r="AG130">
        <v>416000</v>
      </c>
      <c r="AH130" t="b">
        <v>1</v>
      </c>
      <c r="AI130" t="b">
        <v>1</v>
      </c>
      <c r="AJ130">
        <v>0</v>
      </c>
      <c r="AK130">
        <v>1</v>
      </c>
      <c r="AL130" t="b">
        <v>1</v>
      </c>
      <c r="AM130" t="b">
        <v>0</v>
      </c>
      <c r="AN130">
        <v>2336000</v>
      </c>
      <c r="AO130">
        <v>416000</v>
      </c>
      <c r="AP130">
        <v>16</v>
      </c>
      <c r="AQ130">
        <v>16</v>
      </c>
      <c r="AR130">
        <v>0</v>
      </c>
      <c r="AS130">
        <v>1</v>
      </c>
      <c r="AT130">
        <v>0</v>
      </c>
      <c r="AU130">
        <v>416000</v>
      </c>
    </row>
    <row r="131" spans="1:47" x14ac:dyDescent="0.3">
      <c r="A131" s="1">
        <v>46096</v>
      </c>
      <c r="B131" t="s">
        <v>373</v>
      </c>
      <c r="C131">
        <v>1</v>
      </c>
      <c r="D131" t="s">
        <v>336</v>
      </c>
      <c r="E131" t="s">
        <v>126</v>
      </c>
      <c r="F131" t="s">
        <v>80</v>
      </c>
      <c r="G131">
        <v>17</v>
      </c>
      <c r="H131">
        <v>12</v>
      </c>
      <c r="I131">
        <v>845000</v>
      </c>
      <c r="J131">
        <v>0.02</v>
      </c>
      <c r="K131" t="s">
        <v>98</v>
      </c>
      <c r="L131" s="1">
        <v>46097</v>
      </c>
      <c r="N131" t="s">
        <v>67</v>
      </c>
      <c r="P131">
        <v>129</v>
      </c>
      <c r="Q131" t="s">
        <v>337</v>
      </c>
      <c r="R131" t="s">
        <v>75</v>
      </c>
      <c r="S131" t="s">
        <v>84</v>
      </c>
      <c r="T131" t="s">
        <v>56</v>
      </c>
      <c r="U131" t="s">
        <v>128</v>
      </c>
      <c r="V131" t="s">
        <v>58</v>
      </c>
      <c r="W131" t="s">
        <v>59</v>
      </c>
      <c r="X131">
        <v>650000</v>
      </c>
      <c r="Y131">
        <v>845000</v>
      </c>
      <c r="Z131" t="s">
        <v>56</v>
      </c>
      <c r="AA131" t="s">
        <v>129</v>
      </c>
      <c r="AB131" t="s">
        <v>88</v>
      </c>
      <c r="AC131" t="s">
        <v>83</v>
      </c>
      <c r="AD131" t="s">
        <v>62</v>
      </c>
      <c r="AE131">
        <v>9937200</v>
      </c>
      <c r="AF131">
        <v>7800000</v>
      </c>
      <c r="AG131">
        <v>2137200</v>
      </c>
      <c r="AH131" t="b">
        <v>1</v>
      </c>
      <c r="AI131" t="b">
        <v>0</v>
      </c>
      <c r="AL131" t="b">
        <v>1</v>
      </c>
      <c r="AM131" t="b">
        <v>0</v>
      </c>
      <c r="AN131">
        <v>9937200</v>
      </c>
      <c r="AO131">
        <v>2137200</v>
      </c>
      <c r="AP131">
        <v>12</v>
      </c>
      <c r="AQ131">
        <v>17</v>
      </c>
      <c r="AR131">
        <v>0</v>
      </c>
      <c r="AS131">
        <v>0</v>
      </c>
      <c r="AT131">
        <v>0</v>
      </c>
      <c r="AU131">
        <v>2137200</v>
      </c>
    </row>
    <row r="132" spans="1:47" x14ac:dyDescent="0.3">
      <c r="A132" s="1">
        <v>46036</v>
      </c>
      <c r="B132" t="s">
        <v>374</v>
      </c>
      <c r="C132">
        <v>2</v>
      </c>
      <c r="D132" t="s">
        <v>300</v>
      </c>
      <c r="E132" t="s">
        <v>156</v>
      </c>
      <c r="F132" t="s">
        <v>50</v>
      </c>
      <c r="G132">
        <v>5</v>
      </c>
      <c r="H132">
        <v>3</v>
      </c>
      <c r="I132">
        <v>243000</v>
      </c>
      <c r="J132">
        <v>0.02</v>
      </c>
      <c r="K132" t="s">
        <v>51</v>
      </c>
      <c r="L132" s="1">
        <v>46043</v>
      </c>
      <c r="M132" s="1">
        <v>46046</v>
      </c>
      <c r="N132" t="s">
        <v>106</v>
      </c>
      <c r="P132">
        <v>130</v>
      </c>
      <c r="Q132" t="s">
        <v>301</v>
      </c>
      <c r="R132" t="s">
        <v>83</v>
      </c>
      <c r="S132" t="s">
        <v>123</v>
      </c>
      <c r="T132" t="s">
        <v>56</v>
      </c>
      <c r="U132" t="s">
        <v>157</v>
      </c>
      <c r="V132" t="s">
        <v>71</v>
      </c>
      <c r="W132" t="s">
        <v>72</v>
      </c>
      <c r="X132">
        <v>180000</v>
      </c>
      <c r="Y132">
        <v>243000</v>
      </c>
      <c r="Z132" t="s">
        <v>56</v>
      </c>
      <c r="AA132" t="s">
        <v>73</v>
      </c>
      <c r="AB132" t="s">
        <v>61</v>
      </c>
      <c r="AC132" t="s">
        <v>54</v>
      </c>
      <c r="AD132" t="s">
        <v>94</v>
      </c>
      <c r="AE132">
        <v>714420</v>
      </c>
      <c r="AF132">
        <v>540000</v>
      </c>
      <c r="AG132">
        <v>174420</v>
      </c>
      <c r="AH132" t="b">
        <v>1</v>
      </c>
      <c r="AI132" t="b">
        <v>1</v>
      </c>
      <c r="AJ132">
        <v>0</v>
      </c>
      <c r="AK132">
        <v>3</v>
      </c>
      <c r="AL132" t="b">
        <v>1</v>
      </c>
      <c r="AM132" t="b">
        <v>0</v>
      </c>
      <c r="AN132">
        <v>714420</v>
      </c>
      <c r="AO132">
        <v>174420</v>
      </c>
      <c r="AP132">
        <v>3</v>
      </c>
      <c r="AQ132">
        <v>5</v>
      </c>
      <c r="AR132">
        <v>0</v>
      </c>
      <c r="AS132">
        <v>1</v>
      </c>
      <c r="AT132">
        <v>0</v>
      </c>
      <c r="AU132">
        <v>174420</v>
      </c>
    </row>
    <row r="133" spans="1:47" x14ac:dyDescent="0.3">
      <c r="A133" s="1">
        <v>46055</v>
      </c>
      <c r="B133" t="s">
        <v>375</v>
      </c>
      <c r="C133">
        <v>4</v>
      </c>
      <c r="D133" t="s">
        <v>300</v>
      </c>
      <c r="E133" t="s">
        <v>255</v>
      </c>
      <c r="F133" t="s">
        <v>50</v>
      </c>
      <c r="G133">
        <v>10</v>
      </c>
      <c r="H133">
        <v>10</v>
      </c>
      <c r="I133">
        <v>234000</v>
      </c>
      <c r="J133">
        <v>0.08</v>
      </c>
      <c r="K133" t="s">
        <v>51</v>
      </c>
      <c r="L133" s="1">
        <v>46056</v>
      </c>
      <c r="M133" s="1">
        <v>46055</v>
      </c>
      <c r="N133" t="s">
        <v>106</v>
      </c>
      <c r="P133">
        <v>131</v>
      </c>
      <c r="Q133" t="s">
        <v>301</v>
      </c>
      <c r="R133" t="s">
        <v>83</v>
      </c>
      <c r="S133" t="s">
        <v>123</v>
      </c>
      <c r="T133" t="s">
        <v>56</v>
      </c>
      <c r="U133" t="s">
        <v>257</v>
      </c>
      <c r="V133" t="s">
        <v>58</v>
      </c>
      <c r="W133" t="s">
        <v>59</v>
      </c>
      <c r="X133">
        <v>180000</v>
      </c>
      <c r="Y133">
        <v>234000</v>
      </c>
      <c r="Z133" t="s">
        <v>56</v>
      </c>
      <c r="AA133" t="s">
        <v>60</v>
      </c>
      <c r="AB133" t="s">
        <v>61</v>
      </c>
      <c r="AC133" t="s">
        <v>54</v>
      </c>
      <c r="AD133" t="s">
        <v>158</v>
      </c>
      <c r="AE133">
        <v>2152800</v>
      </c>
      <c r="AF133">
        <v>1800000</v>
      </c>
      <c r="AG133">
        <v>352800</v>
      </c>
      <c r="AH133" t="b">
        <v>1</v>
      </c>
      <c r="AI133" t="b">
        <v>1</v>
      </c>
      <c r="AJ133">
        <v>1</v>
      </c>
      <c r="AK133">
        <v>-1</v>
      </c>
      <c r="AL133" t="b">
        <v>1</v>
      </c>
      <c r="AM133" t="b">
        <v>0</v>
      </c>
      <c r="AN133">
        <v>2152800</v>
      </c>
      <c r="AO133">
        <v>352800</v>
      </c>
      <c r="AP133">
        <v>10</v>
      </c>
      <c r="AQ133">
        <v>10</v>
      </c>
      <c r="AR133">
        <v>1</v>
      </c>
      <c r="AS133">
        <v>1</v>
      </c>
      <c r="AT133">
        <v>0</v>
      </c>
      <c r="AU133">
        <v>352800</v>
      </c>
    </row>
    <row r="134" spans="1:47" x14ac:dyDescent="0.3">
      <c r="A134" s="1">
        <v>46058</v>
      </c>
      <c r="B134" t="s">
        <v>376</v>
      </c>
      <c r="C134">
        <v>4</v>
      </c>
      <c r="D134" t="s">
        <v>223</v>
      </c>
      <c r="E134" t="s">
        <v>206</v>
      </c>
      <c r="F134" t="s">
        <v>80</v>
      </c>
      <c r="G134">
        <v>33</v>
      </c>
      <c r="H134">
        <v>33</v>
      </c>
      <c r="I134">
        <v>648000</v>
      </c>
      <c r="J134">
        <v>0</v>
      </c>
      <c r="K134" t="s">
        <v>51</v>
      </c>
      <c r="L134" s="1">
        <v>46063</v>
      </c>
      <c r="M134" s="1">
        <v>46065</v>
      </c>
      <c r="N134" t="s">
        <v>52</v>
      </c>
      <c r="P134">
        <v>132</v>
      </c>
      <c r="Q134" t="s">
        <v>224</v>
      </c>
      <c r="R134" t="s">
        <v>83</v>
      </c>
      <c r="S134" t="s">
        <v>55</v>
      </c>
      <c r="T134" t="s">
        <v>56</v>
      </c>
      <c r="U134" t="s">
        <v>207</v>
      </c>
      <c r="V134" t="s">
        <v>71</v>
      </c>
      <c r="W134" t="s">
        <v>72</v>
      </c>
      <c r="X134">
        <v>480000</v>
      </c>
      <c r="Y134">
        <v>648000</v>
      </c>
      <c r="Z134" t="s">
        <v>56</v>
      </c>
      <c r="AA134" t="s">
        <v>73</v>
      </c>
      <c r="AB134" t="s">
        <v>88</v>
      </c>
      <c r="AC134" t="s">
        <v>83</v>
      </c>
      <c r="AD134" t="s">
        <v>158</v>
      </c>
      <c r="AE134">
        <v>21384000</v>
      </c>
      <c r="AF134">
        <v>15840000</v>
      </c>
      <c r="AG134">
        <v>5544000</v>
      </c>
      <c r="AH134" t="b">
        <v>1</v>
      </c>
      <c r="AI134" t="b">
        <v>1</v>
      </c>
      <c r="AJ134">
        <v>0</v>
      </c>
      <c r="AK134">
        <v>2</v>
      </c>
      <c r="AL134" t="b">
        <v>1</v>
      </c>
      <c r="AM134" t="b">
        <v>0</v>
      </c>
      <c r="AN134">
        <v>21384000</v>
      </c>
      <c r="AO134">
        <v>5544000</v>
      </c>
      <c r="AP134">
        <v>33</v>
      </c>
      <c r="AQ134">
        <v>33</v>
      </c>
      <c r="AR134">
        <v>0</v>
      </c>
      <c r="AS134">
        <v>1</v>
      </c>
      <c r="AT134">
        <v>0</v>
      </c>
      <c r="AU134">
        <v>5544000</v>
      </c>
    </row>
    <row r="135" spans="1:47" x14ac:dyDescent="0.3">
      <c r="A135" s="1">
        <v>46174</v>
      </c>
      <c r="B135" t="s">
        <v>377</v>
      </c>
      <c r="C135">
        <v>4</v>
      </c>
      <c r="D135" t="s">
        <v>185</v>
      </c>
      <c r="E135" t="s">
        <v>378</v>
      </c>
      <c r="F135" t="s">
        <v>66</v>
      </c>
      <c r="G135">
        <v>2</v>
      </c>
      <c r="H135">
        <v>2</v>
      </c>
      <c r="I135">
        <v>0</v>
      </c>
      <c r="J135">
        <v>0.05</v>
      </c>
      <c r="K135" t="s">
        <v>51</v>
      </c>
      <c r="L135" s="1">
        <v>46181</v>
      </c>
      <c r="M135" s="1">
        <v>46181</v>
      </c>
      <c r="N135" t="s">
        <v>106</v>
      </c>
      <c r="O135" t="s">
        <v>379</v>
      </c>
      <c r="P135">
        <v>133</v>
      </c>
      <c r="Q135" t="s">
        <v>186</v>
      </c>
      <c r="R135" t="s">
        <v>54</v>
      </c>
      <c r="S135" t="s">
        <v>55</v>
      </c>
      <c r="T135" t="s">
        <v>56</v>
      </c>
      <c r="U135" t="s">
        <v>380</v>
      </c>
      <c r="V135" t="s">
        <v>101</v>
      </c>
      <c r="W135" t="s">
        <v>102</v>
      </c>
      <c r="X135">
        <v>650000</v>
      </c>
      <c r="Y135">
        <v>793000</v>
      </c>
      <c r="Z135" t="s">
        <v>56</v>
      </c>
      <c r="AA135" t="s">
        <v>129</v>
      </c>
      <c r="AB135" t="s">
        <v>74</v>
      </c>
      <c r="AC135" t="s">
        <v>75</v>
      </c>
      <c r="AD135" t="s">
        <v>118</v>
      </c>
      <c r="AE135">
        <v>0</v>
      </c>
      <c r="AF135">
        <v>1300000</v>
      </c>
      <c r="AG135">
        <v>-1300000</v>
      </c>
      <c r="AH135" t="b">
        <v>1</v>
      </c>
      <c r="AI135" t="b">
        <v>1</v>
      </c>
      <c r="AJ135">
        <v>1</v>
      </c>
      <c r="AK135">
        <v>0</v>
      </c>
      <c r="AL135" t="b">
        <v>1</v>
      </c>
      <c r="AM135" t="b">
        <v>0</v>
      </c>
      <c r="AN135">
        <v>0</v>
      </c>
      <c r="AO135">
        <v>-1300000</v>
      </c>
      <c r="AP135">
        <v>2</v>
      </c>
      <c r="AQ135">
        <v>2</v>
      </c>
      <c r="AR135">
        <v>1</v>
      </c>
      <c r="AS135">
        <v>1</v>
      </c>
      <c r="AT135">
        <v>0</v>
      </c>
      <c r="AU135">
        <v>-1300000</v>
      </c>
    </row>
    <row r="136" spans="1:47" x14ac:dyDescent="0.3">
      <c r="A136" s="1">
        <v>46175</v>
      </c>
      <c r="B136" t="s">
        <v>381</v>
      </c>
      <c r="C136">
        <v>3</v>
      </c>
      <c r="D136" t="s">
        <v>120</v>
      </c>
      <c r="E136" t="s">
        <v>203</v>
      </c>
      <c r="F136" t="s">
        <v>114</v>
      </c>
      <c r="G136">
        <v>31</v>
      </c>
      <c r="H136">
        <v>28</v>
      </c>
      <c r="I136">
        <v>2124000</v>
      </c>
      <c r="J136">
        <v>0.08</v>
      </c>
      <c r="K136" t="s">
        <v>51</v>
      </c>
      <c r="L136" s="1">
        <v>46180</v>
      </c>
      <c r="M136" s="1">
        <v>46180</v>
      </c>
      <c r="N136" t="s">
        <v>81</v>
      </c>
      <c r="P136">
        <v>134</v>
      </c>
      <c r="Q136" t="s">
        <v>122</v>
      </c>
      <c r="R136" t="s">
        <v>54</v>
      </c>
      <c r="S136" t="s">
        <v>123</v>
      </c>
      <c r="T136" t="s">
        <v>56</v>
      </c>
      <c r="U136" t="s">
        <v>204</v>
      </c>
      <c r="V136" t="s">
        <v>109</v>
      </c>
      <c r="W136" t="s">
        <v>110</v>
      </c>
      <c r="X136">
        <v>1800000</v>
      </c>
      <c r="Y136">
        <v>2124000</v>
      </c>
      <c r="Z136" t="s">
        <v>56</v>
      </c>
      <c r="AA136" t="s">
        <v>73</v>
      </c>
      <c r="AB136" t="s">
        <v>117</v>
      </c>
      <c r="AC136" t="s">
        <v>83</v>
      </c>
      <c r="AD136" t="s">
        <v>118</v>
      </c>
      <c r="AE136">
        <v>54714240</v>
      </c>
      <c r="AF136">
        <v>50400000</v>
      </c>
      <c r="AG136">
        <v>4314240</v>
      </c>
      <c r="AH136" t="b">
        <v>1</v>
      </c>
      <c r="AI136" t="b">
        <v>1</v>
      </c>
      <c r="AJ136">
        <v>1</v>
      </c>
      <c r="AK136">
        <v>0</v>
      </c>
      <c r="AL136" t="b">
        <v>1</v>
      </c>
      <c r="AM136" t="b">
        <v>0</v>
      </c>
      <c r="AN136">
        <v>54714240</v>
      </c>
      <c r="AO136">
        <v>4314240</v>
      </c>
      <c r="AP136">
        <v>28</v>
      </c>
      <c r="AQ136">
        <v>31</v>
      </c>
      <c r="AR136">
        <v>1</v>
      </c>
      <c r="AS136">
        <v>1</v>
      </c>
      <c r="AT136">
        <v>0</v>
      </c>
      <c r="AU136">
        <v>4314240</v>
      </c>
    </row>
    <row r="137" spans="1:47" x14ac:dyDescent="0.3">
      <c r="A137" s="1">
        <v>46031</v>
      </c>
      <c r="B137" t="s">
        <v>382</v>
      </c>
      <c r="C137">
        <v>2</v>
      </c>
      <c r="D137" t="s">
        <v>333</v>
      </c>
      <c r="E137" t="s">
        <v>160</v>
      </c>
      <c r="F137" t="s">
        <v>50</v>
      </c>
      <c r="G137">
        <v>27</v>
      </c>
      <c r="H137">
        <v>27</v>
      </c>
      <c r="I137">
        <v>1125000</v>
      </c>
      <c r="J137">
        <v>0.05</v>
      </c>
      <c r="K137" t="s">
        <v>51</v>
      </c>
      <c r="L137" s="1">
        <v>46038</v>
      </c>
      <c r="M137" s="1">
        <v>46045</v>
      </c>
      <c r="N137" t="s">
        <v>67</v>
      </c>
      <c r="P137">
        <v>135</v>
      </c>
      <c r="Q137" t="s">
        <v>334</v>
      </c>
      <c r="R137" t="s">
        <v>75</v>
      </c>
      <c r="S137" t="s">
        <v>123</v>
      </c>
      <c r="T137" t="s">
        <v>56</v>
      </c>
      <c r="U137" t="s">
        <v>161</v>
      </c>
      <c r="V137" t="s">
        <v>86</v>
      </c>
      <c r="W137" t="s">
        <v>87</v>
      </c>
      <c r="X137">
        <v>900000</v>
      </c>
      <c r="Y137">
        <v>1125000</v>
      </c>
      <c r="Z137" t="s">
        <v>56</v>
      </c>
      <c r="AA137" t="s">
        <v>60</v>
      </c>
      <c r="AB137" t="s">
        <v>61</v>
      </c>
      <c r="AC137" t="s">
        <v>54</v>
      </c>
      <c r="AD137" t="s">
        <v>94</v>
      </c>
      <c r="AE137">
        <v>28856250</v>
      </c>
      <c r="AF137">
        <v>24300000</v>
      </c>
      <c r="AG137">
        <v>4556250</v>
      </c>
      <c r="AH137" t="b">
        <v>1</v>
      </c>
      <c r="AI137" t="b">
        <v>1</v>
      </c>
      <c r="AJ137">
        <v>0</v>
      </c>
      <c r="AK137">
        <v>7</v>
      </c>
      <c r="AL137" t="b">
        <v>1</v>
      </c>
      <c r="AM137" t="b">
        <v>0</v>
      </c>
      <c r="AN137">
        <v>28856250</v>
      </c>
      <c r="AO137">
        <v>4556250</v>
      </c>
      <c r="AP137">
        <v>27</v>
      </c>
      <c r="AQ137">
        <v>27</v>
      </c>
      <c r="AR137">
        <v>0</v>
      </c>
      <c r="AS137">
        <v>1</v>
      </c>
      <c r="AT137">
        <v>0</v>
      </c>
      <c r="AU137">
        <v>4556250</v>
      </c>
    </row>
    <row r="138" spans="1:47" x14ac:dyDescent="0.3">
      <c r="A138" s="1">
        <v>46038</v>
      </c>
      <c r="B138" t="s">
        <v>383</v>
      </c>
      <c r="C138">
        <v>2</v>
      </c>
      <c r="D138" t="s">
        <v>48</v>
      </c>
      <c r="E138" t="s">
        <v>132</v>
      </c>
      <c r="F138" t="s">
        <v>66</v>
      </c>
      <c r="G138">
        <v>34</v>
      </c>
      <c r="H138">
        <v>34</v>
      </c>
      <c r="I138">
        <v>413000</v>
      </c>
      <c r="J138">
        <v>0.08</v>
      </c>
      <c r="K138" t="s">
        <v>51</v>
      </c>
      <c r="L138" s="1">
        <v>46041</v>
      </c>
      <c r="M138" s="1">
        <v>46043</v>
      </c>
      <c r="N138" t="s">
        <v>52</v>
      </c>
      <c r="P138">
        <v>136</v>
      </c>
      <c r="Q138" t="s">
        <v>53</v>
      </c>
      <c r="R138" t="s">
        <v>54</v>
      </c>
      <c r="S138" t="s">
        <v>55</v>
      </c>
      <c r="T138" t="s">
        <v>56</v>
      </c>
      <c r="U138" t="s">
        <v>133</v>
      </c>
      <c r="V138" t="s">
        <v>109</v>
      </c>
      <c r="W138" t="s">
        <v>110</v>
      </c>
      <c r="X138">
        <v>350000</v>
      </c>
      <c r="Y138">
        <v>413000</v>
      </c>
      <c r="Z138" t="s">
        <v>134</v>
      </c>
      <c r="AA138" t="s">
        <v>73</v>
      </c>
      <c r="AB138" t="s">
        <v>74</v>
      </c>
      <c r="AC138" t="s">
        <v>75</v>
      </c>
      <c r="AD138" t="s">
        <v>94</v>
      </c>
      <c r="AE138">
        <v>12918640</v>
      </c>
      <c r="AF138">
        <v>11900000</v>
      </c>
      <c r="AG138">
        <v>1018640</v>
      </c>
      <c r="AH138" t="b">
        <v>1</v>
      </c>
      <c r="AI138" t="b">
        <v>1</v>
      </c>
      <c r="AJ138">
        <v>0</v>
      </c>
      <c r="AK138">
        <v>2</v>
      </c>
      <c r="AL138" t="b">
        <v>1</v>
      </c>
      <c r="AM138" t="b">
        <v>0</v>
      </c>
      <c r="AN138">
        <v>12918640</v>
      </c>
      <c r="AO138">
        <v>1018640</v>
      </c>
      <c r="AP138">
        <v>34</v>
      </c>
      <c r="AQ138">
        <v>34</v>
      </c>
      <c r="AR138">
        <v>0</v>
      </c>
      <c r="AS138">
        <v>1</v>
      </c>
      <c r="AT138">
        <v>0</v>
      </c>
      <c r="AU138">
        <v>1018640</v>
      </c>
    </row>
    <row r="139" spans="1:47" x14ac:dyDescent="0.3">
      <c r="A139" s="1">
        <v>46196</v>
      </c>
      <c r="B139" t="s">
        <v>384</v>
      </c>
      <c r="C139">
        <v>4</v>
      </c>
      <c r="D139" t="s">
        <v>288</v>
      </c>
      <c r="E139" t="s">
        <v>152</v>
      </c>
      <c r="F139" t="s">
        <v>50</v>
      </c>
      <c r="G139">
        <v>20</v>
      </c>
      <c r="H139">
        <v>20</v>
      </c>
      <c r="I139">
        <v>845000</v>
      </c>
      <c r="J139">
        <v>0.1</v>
      </c>
      <c r="K139" t="s">
        <v>51</v>
      </c>
      <c r="L139" s="1">
        <v>46198</v>
      </c>
      <c r="M139" s="1">
        <v>46201</v>
      </c>
      <c r="N139" t="s">
        <v>67</v>
      </c>
      <c r="P139">
        <v>137</v>
      </c>
      <c r="Q139" t="s">
        <v>289</v>
      </c>
      <c r="R139" t="s">
        <v>83</v>
      </c>
      <c r="S139" t="s">
        <v>69</v>
      </c>
      <c r="T139" t="s">
        <v>56</v>
      </c>
      <c r="U139" t="s">
        <v>154</v>
      </c>
      <c r="V139" t="s">
        <v>58</v>
      </c>
      <c r="W139" t="s">
        <v>59</v>
      </c>
      <c r="X139">
        <v>650000</v>
      </c>
      <c r="Y139">
        <v>845000</v>
      </c>
      <c r="Z139" t="s">
        <v>56</v>
      </c>
      <c r="AA139" t="s">
        <v>73</v>
      </c>
      <c r="AB139" t="s">
        <v>61</v>
      </c>
      <c r="AC139" t="s">
        <v>54</v>
      </c>
      <c r="AD139" t="s">
        <v>118</v>
      </c>
      <c r="AE139">
        <v>15210000</v>
      </c>
      <c r="AF139">
        <v>13000000</v>
      </c>
      <c r="AG139">
        <v>2210000</v>
      </c>
      <c r="AH139" t="b">
        <v>1</v>
      </c>
      <c r="AI139" t="b">
        <v>1</v>
      </c>
      <c r="AJ139">
        <v>0</v>
      </c>
      <c r="AK139">
        <v>3</v>
      </c>
      <c r="AL139" t="b">
        <v>1</v>
      </c>
      <c r="AM139" t="b">
        <v>0</v>
      </c>
      <c r="AN139">
        <v>15210000</v>
      </c>
      <c r="AO139">
        <v>2210000</v>
      </c>
      <c r="AP139">
        <v>20</v>
      </c>
      <c r="AQ139">
        <v>20</v>
      </c>
      <c r="AR139">
        <v>0</v>
      </c>
      <c r="AS139">
        <v>1</v>
      </c>
      <c r="AT139">
        <v>0</v>
      </c>
      <c r="AU139">
        <v>2210000</v>
      </c>
    </row>
    <row r="140" spans="1:47" x14ac:dyDescent="0.3">
      <c r="A140" s="1">
        <v>46104</v>
      </c>
      <c r="B140" t="s">
        <v>385</v>
      </c>
      <c r="C140">
        <v>3</v>
      </c>
      <c r="D140" t="s">
        <v>48</v>
      </c>
      <c r="E140" t="s">
        <v>113</v>
      </c>
      <c r="F140" t="s">
        <v>50</v>
      </c>
      <c r="G140">
        <v>8</v>
      </c>
      <c r="H140">
        <v>8</v>
      </c>
      <c r="I140">
        <v>648000</v>
      </c>
      <c r="J140">
        <v>0.05</v>
      </c>
      <c r="K140" t="s">
        <v>51</v>
      </c>
      <c r="L140" s="1">
        <v>46107</v>
      </c>
      <c r="M140" s="1">
        <v>46114</v>
      </c>
      <c r="N140" t="s">
        <v>81</v>
      </c>
      <c r="P140">
        <v>138</v>
      </c>
      <c r="Q140" t="s">
        <v>53</v>
      </c>
      <c r="R140" t="s">
        <v>54</v>
      </c>
      <c r="S140" t="s">
        <v>55</v>
      </c>
      <c r="T140" t="s">
        <v>56</v>
      </c>
      <c r="U140" t="s">
        <v>116</v>
      </c>
      <c r="V140" t="s">
        <v>71</v>
      </c>
      <c r="W140" t="s">
        <v>72</v>
      </c>
      <c r="X140">
        <v>480000</v>
      </c>
      <c r="Y140">
        <v>648000</v>
      </c>
      <c r="Z140" t="s">
        <v>56</v>
      </c>
      <c r="AA140" t="s">
        <v>60</v>
      </c>
      <c r="AB140" t="s">
        <v>61</v>
      </c>
      <c r="AC140" t="s">
        <v>54</v>
      </c>
      <c r="AD140" t="s">
        <v>62</v>
      </c>
      <c r="AE140">
        <v>4924800</v>
      </c>
      <c r="AF140">
        <v>3840000</v>
      </c>
      <c r="AG140">
        <v>1084800</v>
      </c>
      <c r="AH140" t="b">
        <v>1</v>
      </c>
      <c r="AI140" t="b">
        <v>1</v>
      </c>
      <c r="AJ140">
        <v>0</v>
      </c>
      <c r="AK140">
        <v>7</v>
      </c>
      <c r="AL140" t="b">
        <v>1</v>
      </c>
      <c r="AM140" t="b">
        <v>0</v>
      </c>
      <c r="AN140">
        <v>4924800</v>
      </c>
      <c r="AO140">
        <v>1084800</v>
      </c>
      <c r="AP140">
        <v>8</v>
      </c>
      <c r="AQ140">
        <v>8</v>
      </c>
      <c r="AR140">
        <v>0</v>
      </c>
      <c r="AS140">
        <v>1</v>
      </c>
      <c r="AT140">
        <v>0</v>
      </c>
      <c r="AU140">
        <v>1084800</v>
      </c>
    </row>
    <row r="141" spans="1:47" x14ac:dyDescent="0.3">
      <c r="A141" s="1">
        <v>46097</v>
      </c>
      <c r="B141" t="s">
        <v>386</v>
      </c>
      <c r="C141">
        <v>3</v>
      </c>
      <c r="D141" t="s">
        <v>200</v>
      </c>
      <c r="E141" t="s">
        <v>91</v>
      </c>
      <c r="F141" t="s">
        <v>66</v>
      </c>
      <c r="G141">
        <v>17</v>
      </c>
      <c r="H141">
        <v>6</v>
      </c>
      <c r="I141">
        <v>2250000</v>
      </c>
      <c r="J141">
        <v>0</v>
      </c>
      <c r="K141" t="s">
        <v>98</v>
      </c>
      <c r="L141" s="1">
        <v>46104</v>
      </c>
      <c r="N141" t="s">
        <v>52</v>
      </c>
      <c r="P141">
        <v>139</v>
      </c>
      <c r="Q141" t="s">
        <v>201</v>
      </c>
      <c r="R141" t="s">
        <v>75</v>
      </c>
      <c r="S141" t="s">
        <v>55</v>
      </c>
      <c r="T141" t="s">
        <v>56</v>
      </c>
      <c r="U141" t="s">
        <v>93</v>
      </c>
      <c r="V141" t="s">
        <v>86</v>
      </c>
      <c r="W141" t="s">
        <v>87</v>
      </c>
      <c r="X141">
        <v>1800000</v>
      </c>
      <c r="Y141">
        <v>2250000</v>
      </c>
      <c r="Z141" t="s">
        <v>56</v>
      </c>
      <c r="AA141" t="s">
        <v>60</v>
      </c>
      <c r="AB141" t="s">
        <v>74</v>
      </c>
      <c r="AC141" t="s">
        <v>75</v>
      </c>
      <c r="AD141" t="s">
        <v>62</v>
      </c>
      <c r="AE141">
        <v>13500000</v>
      </c>
      <c r="AF141">
        <v>10800000</v>
      </c>
      <c r="AG141">
        <v>2700000</v>
      </c>
      <c r="AH141" t="b">
        <v>1</v>
      </c>
      <c r="AI141" t="b">
        <v>0</v>
      </c>
      <c r="AL141" t="b">
        <v>1</v>
      </c>
      <c r="AM141" t="b">
        <v>0</v>
      </c>
      <c r="AN141">
        <v>13500000</v>
      </c>
      <c r="AO141">
        <v>2700000</v>
      </c>
      <c r="AP141">
        <v>6</v>
      </c>
      <c r="AQ141">
        <v>17</v>
      </c>
      <c r="AR141">
        <v>0</v>
      </c>
      <c r="AS141">
        <v>0</v>
      </c>
      <c r="AT141">
        <v>0</v>
      </c>
      <c r="AU141">
        <v>2700000</v>
      </c>
    </row>
    <row r="142" spans="1:47" x14ac:dyDescent="0.3">
      <c r="A142" s="1">
        <v>46166</v>
      </c>
      <c r="B142" t="s">
        <v>387</v>
      </c>
      <c r="C142">
        <v>2</v>
      </c>
      <c r="D142" t="s">
        <v>336</v>
      </c>
      <c r="E142" t="s">
        <v>152</v>
      </c>
      <c r="F142" t="s">
        <v>80</v>
      </c>
      <c r="G142">
        <v>4</v>
      </c>
      <c r="H142">
        <v>4</v>
      </c>
      <c r="I142">
        <v>845000</v>
      </c>
      <c r="J142">
        <v>0.1</v>
      </c>
      <c r="K142" t="s">
        <v>51</v>
      </c>
      <c r="L142" s="1">
        <v>46168</v>
      </c>
      <c r="M142" s="1">
        <v>46167</v>
      </c>
      <c r="N142" t="s">
        <v>106</v>
      </c>
      <c r="P142">
        <v>140</v>
      </c>
      <c r="Q142" t="s">
        <v>337</v>
      </c>
      <c r="R142" t="s">
        <v>75</v>
      </c>
      <c r="S142" t="s">
        <v>84</v>
      </c>
      <c r="T142" t="s">
        <v>56</v>
      </c>
      <c r="U142" t="s">
        <v>154</v>
      </c>
      <c r="V142" t="s">
        <v>58</v>
      </c>
      <c r="W142" t="s">
        <v>59</v>
      </c>
      <c r="X142">
        <v>650000</v>
      </c>
      <c r="Y142">
        <v>845000</v>
      </c>
      <c r="Z142" t="s">
        <v>56</v>
      </c>
      <c r="AA142" t="s">
        <v>73</v>
      </c>
      <c r="AB142" t="s">
        <v>88</v>
      </c>
      <c r="AC142" t="s">
        <v>83</v>
      </c>
      <c r="AD142" t="s">
        <v>76</v>
      </c>
      <c r="AE142">
        <v>3042000</v>
      </c>
      <c r="AF142">
        <v>2600000</v>
      </c>
      <c r="AG142">
        <v>442000</v>
      </c>
      <c r="AH142" t="b">
        <v>1</v>
      </c>
      <c r="AI142" t="b">
        <v>1</v>
      </c>
      <c r="AJ142">
        <v>1</v>
      </c>
      <c r="AK142">
        <v>-1</v>
      </c>
      <c r="AL142" t="b">
        <v>1</v>
      </c>
      <c r="AM142" t="b">
        <v>0</v>
      </c>
      <c r="AN142">
        <v>3042000</v>
      </c>
      <c r="AO142">
        <v>442000</v>
      </c>
      <c r="AP142">
        <v>4</v>
      </c>
      <c r="AQ142">
        <v>4</v>
      </c>
      <c r="AR142">
        <v>1</v>
      </c>
      <c r="AS142">
        <v>1</v>
      </c>
      <c r="AT142">
        <v>0</v>
      </c>
      <c r="AU142">
        <v>442000</v>
      </c>
    </row>
    <row r="143" spans="1:47" x14ac:dyDescent="0.3">
      <c r="A143" s="1">
        <v>46128</v>
      </c>
      <c r="B143" t="s">
        <v>388</v>
      </c>
      <c r="C143">
        <v>4</v>
      </c>
      <c r="D143" t="s">
        <v>336</v>
      </c>
      <c r="E143" t="s">
        <v>348</v>
      </c>
      <c r="F143" t="s">
        <v>114</v>
      </c>
      <c r="G143">
        <v>11</v>
      </c>
      <c r="H143">
        <v>11</v>
      </c>
      <c r="I143">
        <v>566000</v>
      </c>
      <c r="J143">
        <v>0.1</v>
      </c>
      <c r="K143" t="s">
        <v>51</v>
      </c>
      <c r="L143" s="1">
        <v>46130</v>
      </c>
      <c r="M143" s="1">
        <v>46137</v>
      </c>
      <c r="N143" t="s">
        <v>52</v>
      </c>
      <c r="P143">
        <v>141</v>
      </c>
      <c r="Q143" t="s">
        <v>337</v>
      </c>
      <c r="R143" t="s">
        <v>75</v>
      </c>
      <c r="S143" t="s">
        <v>84</v>
      </c>
      <c r="T143" t="s">
        <v>56</v>
      </c>
      <c r="U143" t="s">
        <v>349</v>
      </c>
      <c r="V143" t="s">
        <v>109</v>
      </c>
      <c r="W143" t="s">
        <v>110</v>
      </c>
      <c r="X143">
        <v>480000</v>
      </c>
      <c r="Y143">
        <v>566000</v>
      </c>
      <c r="Z143" t="s">
        <v>56</v>
      </c>
      <c r="AA143" t="s">
        <v>60</v>
      </c>
      <c r="AB143" t="s">
        <v>117</v>
      </c>
      <c r="AC143" t="s">
        <v>83</v>
      </c>
      <c r="AD143" t="s">
        <v>130</v>
      </c>
      <c r="AE143">
        <v>5603400</v>
      </c>
      <c r="AF143">
        <v>5280000</v>
      </c>
      <c r="AG143">
        <v>323400</v>
      </c>
      <c r="AH143" t="b">
        <v>1</v>
      </c>
      <c r="AI143" t="b">
        <v>1</v>
      </c>
      <c r="AJ143">
        <v>0</v>
      </c>
      <c r="AK143">
        <v>7</v>
      </c>
      <c r="AL143" t="b">
        <v>1</v>
      </c>
      <c r="AM143" t="b">
        <v>0</v>
      </c>
      <c r="AN143">
        <v>5603400</v>
      </c>
      <c r="AO143">
        <v>323400</v>
      </c>
      <c r="AP143">
        <v>11</v>
      </c>
      <c r="AQ143">
        <v>11</v>
      </c>
      <c r="AR143">
        <v>0</v>
      </c>
      <c r="AS143">
        <v>1</v>
      </c>
      <c r="AT143">
        <v>0</v>
      </c>
      <c r="AU143">
        <v>323400</v>
      </c>
    </row>
    <row r="144" spans="1:47" x14ac:dyDescent="0.3">
      <c r="A144" s="1">
        <v>46105</v>
      </c>
      <c r="B144" t="s">
        <v>389</v>
      </c>
      <c r="C144">
        <v>1</v>
      </c>
      <c r="D144" t="s">
        <v>200</v>
      </c>
      <c r="E144" t="s">
        <v>203</v>
      </c>
      <c r="F144" t="s">
        <v>114</v>
      </c>
      <c r="G144">
        <v>12</v>
      </c>
      <c r="H144">
        <v>12</v>
      </c>
      <c r="I144">
        <v>2124000</v>
      </c>
      <c r="J144">
        <v>0.05</v>
      </c>
      <c r="K144" t="s">
        <v>51</v>
      </c>
      <c r="L144" s="1">
        <v>46110</v>
      </c>
      <c r="M144" s="1">
        <v>46110</v>
      </c>
      <c r="N144" t="s">
        <v>52</v>
      </c>
      <c r="P144">
        <v>142</v>
      </c>
      <c r="Q144" t="s">
        <v>201</v>
      </c>
      <c r="R144" t="s">
        <v>75</v>
      </c>
      <c r="S144" t="s">
        <v>55</v>
      </c>
      <c r="T144" t="s">
        <v>56</v>
      </c>
      <c r="U144" t="s">
        <v>204</v>
      </c>
      <c r="V144" t="s">
        <v>109</v>
      </c>
      <c r="W144" t="s">
        <v>110</v>
      </c>
      <c r="X144">
        <v>1800000</v>
      </c>
      <c r="Y144">
        <v>2124000</v>
      </c>
      <c r="Z144" t="s">
        <v>56</v>
      </c>
      <c r="AA144" t="s">
        <v>73</v>
      </c>
      <c r="AB144" t="s">
        <v>117</v>
      </c>
      <c r="AC144" t="s">
        <v>83</v>
      </c>
      <c r="AD144" t="s">
        <v>62</v>
      </c>
      <c r="AE144">
        <v>24213600</v>
      </c>
      <c r="AF144">
        <v>21600000</v>
      </c>
      <c r="AG144">
        <v>2613600</v>
      </c>
      <c r="AH144" t="b">
        <v>1</v>
      </c>
      <c r="AI144" t="b">
        <v>1</v>
      </c>
      <c r="AJ144">
        <v>1</v>
      </c>
      <c r="AK144">
        <v>0</v>
      </c>
      <c r="AL144" t="b">
        <v>1</v>
      </c>
      <c r="AM144" t="b">
        <v>0</v>
      </c>
      <c r="AN144">
        <v>24213600</v>
      </c>
      <c r="AO144">
        <v>2613600</v>
      </c>
      <c r="AP144">
        <v>12</v>
      </c>
      <c r="AQ144">
        <v>12</v>
      </c>
      <c r="AR144">
        <v>1</v>
      </c>
      <c r="AS144">
        <v>1</v>
      </c>
      <c r="AT144">
        <v>0</v>
      </c>
      <c r="AU144">
        <v>2613600</v>
      </c>
    </row>
    <row r="145" spans="1:47" x14ac:dyDescent="0.3">
      <c r="A145" s="1">
        <v>46032</v>
      </c>
      <c r="B145" t="s">
        <v>390</v>
      </c>
      <c r="C145">
        <v>3</v>
      </c>
      <c r="D145" t="s">
        <v>185</v>
      </c>
      <c r="E145" t="s">
        <v>236</v>
      </c>
      <c r="F145" t="s">
        <v>50</v>
      </c>
      <c r="G145">
        <v>19</v>
      </c>
      <c r="H145">
        <v>16</v>
      </c>
      <c r="I145">
        <v>448000</v>
      </c>
      <c r="J145">
        <v>0.08</v>
      </c>
      <c r="K145" t="s">
        <v>51</v>
      </c>
      <c r="L145" s="1">
        <v>46037</v>
      </c>
      <c r="M145" s="1">
        <v>46037</v>
      </c>
      <c r="N145" t="s">
        <v>67</v>
      </c>
      <c r="P145">
        <v>143</v>
      </c>
      <c r="Q145" t="s">
        <v>186</v>
      </c>
      <c r="R145" t="s">
        <v>54</v>
      </c>
      <c r="S145" t="s">
        <v>55</v>
      </c>
      <c r="T145" t="s">
        <v>56</v>
      </c>
      <c r="U145" t="s">
        <v>237</v>
      </c>
      <c r="V145" t="s">
        <v>138</v>
      </c>
      <c r="W145" t="s">
        <v>139</v>
      </c>
      <c r="X145">
        <v>350000</v>
      </c>
      <c r="Y145">
        <v>448000</v>
      </c>
      <c r="Z145" t="s">
        <v>134</v>
      </c>
      <c r="AA145" t="s">
        <v>73</v>
      </c>
      <c r="AB145" t="s">
        <v>61</v>
      </c>
      <c r="AC145" t="s">
        <v>54</v>
      </c>
      <c r="AD145" t="s">
        <v>94</v>
      </c>
      <c r="AE145">
        <v>6594560</v>
      </c>
      <c r="AF145">
        <v>5600000</v>
      </c>
      <c r="AG145">
        <v>994560</v>
      </c>
      <c r="AH145" t="b">
        <v>1</v>
      </c>
      <c r="AI145" t="b">
        <v>1</v>
      </c>
      <c r="AJ145">
        <v>1</v>
      </c>
      <c r="AK145">
        <v>0</v>
      </c>
      <c r="AL145" t="b">
        <v>1</v>
      </c>
      <c r="AM145" t="b">
        <v>0</v>
      </c>
      <c r="AN145">
        <v>6594560</v>
      </c>
      <c r="AO145">
        <v>994560</v>
      </c>
      <c r="AP145">
        <v>16</v>
      </c>
      <c r="AQ145">
        <v>19</v>
      </c>
      <c r="AR145">
        <v>1</v>
      </c>
      <c r="AS145">
        <v>1</v>
      </c>
      <c r="AT145">
        <v>0</v>
      </c>
      <c r="AU145">
        <v>994560</v>
      </c>
    </row>
    <row r="146" spans="1:47" x14ac:dyDescent="0.3">
      <c r="A146" s="1">
        <v>46092</v>
      </c>
      <c r="B146" t="s">
        <v>391</v>
      </c>
      <c r="C146">
        <v>1</v>
      </c>
      <c r="D146" t="s">
        <v>112</v>
      </c>
      <c r="E146" t="s">
        <v>311</v>
      </c>
      <c r="F146" t="s">
        <v>66</v>
      </c>
      <c r="G146">
        <v>17</v>
      </c>
      <c r="H146">
        <v>0</v>
      </c>
      <c r="I146">
        <v>437000</v>
      </c>
      <c r="J146">
        <v>0.1</v>
      </c>
      <c r="K146" t="s">
        <v>98</v>
      </c>
      <c r="L146" s="1">
        <v>46095</v>
      </c>
      <c r="N146" t="s">
        <v>52</v>
      </c>
      <c r="P146">
        <v>144</v>
      </c>
      <c r="Q146" t="s">
        <v>115</v>
      </c>
      <c r="R146" t="s">
        <v>75</v>
      </c>
      <c r="S146" t="s">
        <v>55</v>
      </c>
      <c r="T146" t="s">
        <v>56</v>
      </c>
      <c r="U146" t="s">
        <v>312</v>
      </c>
      <c r="V146" t="s">
        <v>86</v>
      </c>
      <c r="W146" t="s">
        <v>87</v>
      </c>
      <c r="X146">
        <v>350000</v>
      </c>
      <c r="Y146">
        <v>437000</v>
      </c>
      <c r="Z146" t="s">
        <v>56</v>
      </c>
      <c r="AA146" t="s">
        <v>60</v>
      </c>
      <c r="AB146" t="s">
        <v>74</v>
      </c>
      <c r="AC146" t="s">
        <v>75</v>
      </c>
      <c r="AD146" t="s">
        <v>62</v>
      </c>
      <c r="AE146">
        <v>0</v>
      </c>
      <c r="AF146">
        <v>0</v>
      </c>
      <c r="AG146">
        <v>0</v>
      </c>
      <c r="AH146" t="b">
        <v>1</v>
      </c>
      <c r="AI146" t="b">
        <v>0</v>
      </c>
      <c r="AL146" t="b">
        <v>1</v>
      </c>
      <c r="AM146" t="b">
        <v>0</v>
      </c>
      <c r="AN146">
        <v>0</v>
      </c>
      <c r="AO146">
        <v>0</v>
      </c>
      <c r="AP146">
        <v>0</v>
      </c>
      <c r="AQ146">
        <v>17</v>
      </c>
      <c r="AR146">
        <v>0</v>
      </c>
      <c r="AS146">
        <v>0</v>
      </c>
      <c r="AT146">
        <v>0</v>
      </c>
      <c r="AU146">
        <v>0</v>
      </c>
    </row>
    <row r="147" spans="1:47" x14ac:dyDescent="0.3">
      <c r="A147" s="1">
        <v>46168</v>
      </c>
      <c r="B147" t="s">
        <v>392</v>
      </c>
      <c r="C147">
        <v>2</v>
      </c>
      <c r="D147" t="s">
        <v>262</v>
      </c>
      <c r="E147" t="s">
        <v>259</v>
      </c>
      <c r="F147" t="s">
        <v>66</v>
      </c>
      <c r="G147">
        <v>33</v>
      </c>
      <c r="H147">
        <v>31</v>
      </c>
      <c r="I147">
        <v>146000</v>
      </c>
      <c r="J147">
        <v>0</v>
      </c>
      <c r="K147" t="s">
        <v>51</v>
      </c>
      <c r="L147" s="1">
        <v>46170</v>
      </c>
      <c r="M147" s="1">
        <v>46170</v>
      </c>
      <c r="N147" t="s">
        <v>67</v>
      </c>
      <c r="P147">
        <v>145</v>
      </c>
      <c r="Q147" t="s">
        <v>263</v>
      </c>
      <c r="R147" t="s">
        <v>83</v>
      </c>
      <c r="S147" t="s">
        <v>55</v>
      </c>
      <c r="T147" t="s">
        <v>56</v>
      </c>
      <c r="U147" t="s">
        <v>260</v>
      </c>
      <c r="V147" t="s">
        <v>101</v>
      </c>
      <c r="W147" t="s">
        <v>102</v>
      </c>
      <c r="X147">
        <v>120000</v>
      </c>
      <c r="Y147">
        <v>146000</v>
      </c>
      <c r="Z147" t="s">
        <v>56</v>
      </c>
      <c r="AA147" t="s">
        <v>129</v>
      </c>
      <c r="AB147" t="s">
        <v>74</v>
      </c>
      <c r="AC147" t="s">
        <v>75</v>
      </c>
      <c r="AD147" t="s">
        <v>76</v>
      </c>
      <c r="AE147">
        <v>4526000</v>
      </c>
      <c r="AF147">
        <v>3720000</v>
      </c>
      <c r="AG147">
        <v>806000</v>
      </c>
      <c r="AH147" t="b">
        <v>1</v>
      </c>
      <c r="AI147" t="b">
        <v>1</v>
      </c>
      <c r="AJ147">
        <v>1</v>
      </c>
      <c r="AK147">
        <v>0</v>
      </c>
      <c r="AL147" t="b">
        <v>1</v>
      </c>
      <c r="AM147" t="b">
        <v>0</v>
      </c>
      <c r="AN147">
        <v>4526000</v>
      </c>
      <c r="AO147">
        <v>806000</v>
      </c>
      <c r="AP147">
        <v>31</v>
      </c>
      <c r="AQ147">
        <v>33</v>
      </c>
      <c r="AR147">
        <v>1</v>
      </c>
      <c r="AS147">
        <v>1</v>
      </c>
      <c r="AT147">
        <v>0</v>
      </c>
      <c r="AU147">
        <v>806000</v>
      </c>
    </row>
    <row r="148" spans="1:47" x14ac:dyDescent="0.3">
      <c r="A148" s="1">
        <v>46105</v>
      </c>
      <c r="B148" t="s">
        <v>393</v>
      </c>
      <c r="C148">
        <v>1</v>
      </c>
      <c r="D148" t="s">
        <v>239</v>
      </c>
      <c r="E148" t="s">
        <v>136</v>
      </c>
      <c r="F148" t="s">
        <v>80</v>
      </c>
      <c r="G148">
        <v>29</v>
      </c>
      <c r="H148">
        <v>10</v>
      </c>
      <c r="I148">
        <v>2304000</v>
      </c>
      <c r="J148">
        <v>0.02</v>
      </c>
      <c r="K148" t="s">
        <v>98</v>
      </c>
      <c r="L148" s="1">
        <v>46112</v>
      </c>
      <c r="N148" t="s">
        <v>106</v>
      </c>
      <c r="P148">
        <v>146</v>
      </c>
      <c r="Q148" t="s">
        <v>240</v>
      </c>
      <c r="R148" t="s">
        <v>75</v>
      </c>
      <c r="S148" t="s">
        <v>55</v>
      </c>
      <c r="T148" t="s">
        <v>56</v>
      </c>
      <c r="U148" t="s">
        <v>137</v>
      </c>
      <c r="V148" t="s">
        <v>138</v>
      </c>
      <c r="W148" t="s">
        <v>139</v>
      </c>
      <c r="X148">
        <v>1800000</v>
      </c>
      <c r="Y148">
        <v>2304000</v>
      </c>
      <c r="Z148" t="s">
        <v>56</v>
      </c>
      <c r="AA148" t="s">
        <v>129</v>
      </c>
      <c r="AB148" t="s">
        <v>88</v>
      </c>
      <c r="AC148" t="s">
        <v>83</v>
      </c>
      <c r="AD148" t="s">
        <v>62</v>
      </c>
      <c r="AE148">
        <v>22579200</v>
      </c>
      <c r="AF148">
        <v>18000000</v>
      </c>
      <c r="AG148">
        <v>4579200</v>
      </c>
      <c r="AH148" t="b">
        <v>1</v>
      </c>
      <c r="AI148" t="b">
        <v>0</v>
      </c>
      <c r="AL148" t="b">
        <v>1</v>
      </c>
      <c r="AM148" t="b">
        <v>0</v>
      </c>
      <c r="AN148">
        <v>22579200</v>
      </c>
      <c r="AO148">
        <v>4579200</v>
      </c>
      <c r="AP148">
        <v>10</v>
      </c>
      <c r="AQ148">
        <v>29</v>
      </c>
      <c r="AR148">
        <v>0</v>
      </c>
      <c r="AS148">
        <v>0</v>
      </c>
      <c r="AT148">
        <v>0</v>
      </c>
      <c r="AU148">
        <v>4579200</v>
      </c>
    </row>
    <row r="149" spans="1:47" x14ac:dyDescent="0.3">
      <c r="A149" s="1">
        <v>46089</v>
      </c>
      <c r="B149" t="s">
        <v>394</v>
      </c>
      <c r="C149">
        <v>2</v>
      </c>
      <c r="D149" t="s">
        <v>64</v>
      </c>
      <c r="E149" t="s">
        <v>230</v>
      </c>
      <c r="F149" t="s">
        <v>66</v>
      </c>
      <c r="G149">
        <v>20</v>
      </c>
      <c r="H149">
        <v>17</v>
      </c>
      <c r="I149">
        <v>2196000</v>
      </c>
      <c r="J149">
        <v>0.1</v>
      </c>
      <c r="K149" t="s">
        <v>51</v>
      </c>
      <c r="L149" s="1">
        <v>46092</v>
      </c>
      <c r="M149" s="1">
        <v>46095</v>
      </c>
      <c r="N149" t="s">
        <v>106</v>
      </c>
      <c r="P149">
        <v>147</v>
      </c>
      <c r="Q149" t="s">
        <v>68</v>
      </c>
      <c r="R149" t="s">
        <v>54</v>
      </c>
      <c r="S149" t="s">
        <v>69</v>
      </c>
      <c r="T149" t="s">
        <v>56</v>
      </c>
      <c r="U149" t="s">
        <v>232</v>
      </c>
      <c r="V149" t="s">
        <v>101</v>
      </c>
      <c r="W149" t="s">
        <v>102</v>
      </c>
      <c r="X149">
        <v>1800000</v>
      </c>
      <c r="Y149">
        <v>2196000</v>
      </c>
      <c r="Z149" t="s">
        <v>56</v>
      </c>
      <c r="AA149" t="s">
        <v>129</v>
      </c>
      <c r="AB149" t="s">
        <v>74</v>
      </c>
      <c r="AC149" t="s">
        <v>75</v>
      </c>
      <c r="AD149" t="s">
        <v>62</v>
      </c>
      <c r="AE149">
        <v>33598800</v>
      </c>
      <c r="AF149">
        <v>30600000</v>
      </c>
      <c r="AG149">
        <v>2998800</v>
      </c>
      <c r="AH149" t="b">
        <v>1</v>
      </c>
      <c r="AI149" t="b">
        <v>1</v>
      </c>
      <c r="AJ149">
        <v>0</v>
      </c>
      <c r="AK149">
        <v>3</v>
      </c>
      <c r="AL149" t="b">
        <v>1</v>
      </c>
      <c r="AM149" t="b">
        <v>0</v>
      </c>
      <c r="AN149">
        <v>33598800</v>
      </c>
      <c r="AO149">
        <v>2998800</v>
      </c>
      <c r="AP149">
        <v>17</v>
      </c>
      <c r="AQ149">
        <v>20</v>
      </c>
      <c r="AR149">
        <v>0</v>
      </c>
      <c r="AS149">
        <v>1</v>
      </c>
      <c r="AT149">
        <v>0</v>
      </c>
      <c r="AU149">
        <v>2998800</v>
      </c>
    </row>
    <row r="150" spans="1:47" x14ac:dyDescent="0.3">
      <c r="A150" s="1">
        <v>46186</v>
      </c>
      <c r="B150" t="s">
        <v>395</v>
      </c>
      <c r="C150">
        <v>3</v>
      </c>
      <c r="D150" t="s">
        <v>262</v>
      </c>
      <c r="E150" t="s">
        <v>203</v>
      </c>
      <c r="F150" t="s">
        <v>80</v>
      </c>
      <c r="G150">
        <v>9</v>
      </c>
      <c r="H150">
        <v>7</v>
      </c>
      <c r="I150">
        <v>2124000</v>
      </c>
      <c r="J150">
        <v>0.08</v>
      </c>
      <c r="K150" t="s">
        <v>51</v>
      </c>
      <c r="L150" s="1">
        <v>46189</v>
      </c>
      <c r="M150" s="1">
        <v>46190</v>
      </c>
      <c r="N150" t="s">
        <v>67</v>
      </c>
      <c r="P150">
        <v>148</v>
      </c>
      <c r="Q150" t="s">
        <v>263</v>
      </c>
      <c r="R150" t="s">
        <v>83</v>
      </c>
      <c r="S150" t="s">
        <v>55</v>
      </c>
      <c r="T150" t="s">
        <v>56</v>
      </c>
      <c r="U150" t="s">
        <v>204</v>
      </c>
      <c r="V150" t="s">
        <v>109</v>
      </c>
      <c r="W150" t="s">
        <v>110</v>
      </c>
      <c r="X150">
        <v>1800000</v>
      </c>
      <c r="Y150">
        <v>2124000</v>
      </c>
      <c r="Z150" t="s">
        <v>56</v>
      </c>
      <c r="AA150" t="s">
        <v>73</v>
      </c>
      <c r="AB150" t="s">
        <v>88</v>
      </c>
      <c r="AC150" t="s">
        <v>83</v>
      </c>
      <c r="AD150" t="s">
        <v>118</v>
      </c>
      <c r="AE150">
        <v>13678560</v>
      </c>
      <c r="AF150">
        <v>12600000</v>
      </c>
      <c r="AG150">
        <v>1078560</v>
      </c>
      <c r="AH150" t="b">
        <v>1</v>
      </c>
      <c r="AI150" t="b">
        <v>1</v>
      </c>
      <c r="AJ150">
        <v>0</v>
      </c>
      <c r="AK150">
        <v>1</v>
      </c>
      <c r="AL150" t="b">
        <v>1</v>
      </c>
      <c r="AM150" t="b">
        <v>0</v>
      </c>
      <c r="AN150">
        <v>13678560</v>
      </c>
      <c r="AO150">
        <v>1078560</v>
      </c>
      <c r="AP150">
        <v>7</v>
      </c>
      <c r="AQ150">
        <v>9</v>
      </c>
      <c r="AR150">
        <v>0</v>
      </c>
      <c r="AS150">
        <v>1</v>
      </c>
      <c r="AT150">
        <v>0</v>
      </c>
      <c r="AU150">
        <v>1078560</v>
      </c>
    </row>
    <row r="151" spans="1:47" x14ac:dyDescent="0.3">
      <c r="A151" s="1">
        <v>46160</v>
      </c>
      <c r="B151" t="s">
        <v>396</v>
      </c>
      <c r="C151">
        <v>2</v>
      </c>
      <c r="D151" t="s">
        <v>307</v>
      </c>
      <c r="E151" t="s">
        <v>65</v>
      </c>
      <c r="F151" t="s">
        <v>66</v>
      </c>
      <c r="G151">
        <v>34</v>
      </c>
      <c r="H151">
        <v>4</v>
      </c>
      <c r="I151">
        <v>2430000</v>
      </c>
      <c r="J151">
        <v>0.08</v>
      </c>
      <c r="K151" t="s">
        <v>98</v>
      </c>
      <c r="L151" s="1">
        <v>46161</v>
      </c>
      <c r="N151" t="s">
        <v>106</v>
      </c>
      <c r="P151">
        <v>149</v>
      </c>
      <c r="Q151" t="s">
        <v>308</v>
      </c>
      <c r="R151" t="s">
        <v>75</v>
      </c>
      <c r="S151" t="s">
        <v>123</v>
      </c>
      <c r="T151" t="s">
        <v>56</v>
      </c>
      <c r="U151" t="s">
        <v>70</v>
      </c>
      <c r="V151" t="s">
        <v>71</v>
      </c>
      <c r="W151" t="s">
        <v>72</v>
      </c>
      <c r="X151">
        <v>1800000</v>
      </c>
      <c r="Y151">
        <v>2430000</v>
      </c>
      <c r="Z151" t="s">
        <v>56</v>
      </c>
      <c r="AA151" t="s">
        <v>73</v>
      </c>
      <c r="AB151" t="s">
        <v>74</v>
      </c>
      <c r="AC151" t="s">
        <v>75</v>
      </c>
      <c r="AD151" t="s">
        <v>76</v>
      </c>
      <c r="AE151">
        <v>8942400</v>
      </c>
      <c r="AF151">
        <v>7200000</v>
      </c>
      <c r="AG151">
        <v>1742400</v>
      </c>
      <c r="AH151" t="b">
        <v>1</v>
      </c>
      <c r="AI151" t="b">
        <v>0</v>
      </c>
      <c r="AL151" t="b">
        <v>1</v>
      </c>
      <c r="AM151" t="b">
        <v>0</v>
      </c>
      <c r="AN151">
        <v>8942400</v>
      </c>
      <c r="AO151">
        <v>1742400</v>
      </c>
      <c r="AP151">
        <v>4</v>
      </c>
      <c r="AQ151">
        <v>34</v>
      </c>
      <c r="AR151">
        <v>0</v>
      </c>
      <c r="AS151">
        <v>0</v>
      </c>
      <c r="AT151">
        <v>0</v>
      </c>
      <c r="AU151">
        <v>1742400</v>
      </c>
    </row>
    <row r="152" spans="1:47" x14ac:dyDescent="0.3">
      <c r="A152" s="1">
        <v>46163</v>
      </c>
      <c r="B152" t="s">
        <v>397</v>
      </c>
      <c r="C152">
        <v>2</v>
      </c>
      <c r="D152" t="s">
        <v>185</v>
      </c>
      <c r="E152" t="s">
        <v>189</v>
      </c>
      <c r="F152" t="s">
        <v>80</v>
      </c>
      <c r="G152">
        <v>11</v>
      </c>
      <c r="H152">
        <v>11</v>
      </c>
      <c r="I152">
        <v>312000</v>
      </c>
      <c r="J152">
        <v>0</v>
      </c>
      <c r="K152" t="s">
        <v>51</v>
      </c>
      <c r="L152" s="1">
        <v>46173</v>
      </c>
      <c r="M152" s="1">
        <v>46173</v>
      </c>
      <c r="N152" t="s">
        <v>67</v>
      </c>
      <c r="P152">
        <v>150</v>
      </c>
      <c r="Q152" t="s">
        <v>186</v>
      </c>
      <c r="R152" t="s">
        <v>54</v>
      </c>
      <c r="S152" t="s">
        <v>55</v>
      </c>
      <c r="T152" t="s">
        <v>56</v>
      </c>
      <c r="U152" t="s">
        <v>191</v>
      </c>
      <c r="V152" t="s">
        <v>86</v>
      </c>
      <c r="W152" t="s">
        <v>87</v>
      </c>
      <c r="X152">
        <v>250000</v>
      </c>
      <c r="Y152">
        <v>312000</v>
      </c>
      <c r="Z152" t="s">
        <v>134</v>
      </c>
      <c r="AA152" t="s">
        <v>73</v>
      </c>
      <c r="AB152" t="s">
        <v>88</v>
      </c>
      <c r="AC152" t="s">
        <v>83</v>
      </c>
      <c r="AD152" t="s">
        <v>76</v>
      </c>
      <c r="AE152">
        <v>3432000</v>
      </c>
      <c r="AF152">
        <v>2750000</v>
      </c>
      <c r="AG152">
        <v>682000</v>
      </c>
      <c r="AH152" t="b">
        <v>1</v>
      </c>
      <c r="AI152" t="b">
        <v>1</v>
      </c>
      <c r="AJ152">
        <v>1</v>
      </c>
      <c r="AK152">
        <v>0</v>
      </c>
      <c r="AL152" t="b">
        <v>1</v>
      </c>
      <c r="AM152" t="b">
        <v>0</v>
      </c>
      <c r="AN152">
        <v>3432000</v>
      </c>
      <c r="AO152">
        <v>682000</v>
      </c>
      <c r="AP152">
        <v>11</v>
      </c>
      <c r="AQ152">
        <v>11</v>
      </c>
      <c r="AR152">
        <v>1</v>
      </c>
      <c r="AS152">
        <v>1</v>
      </c>
      <c r="AT152">
        <v>0</v>
      </c>
      <c r="AU152">
        <v>682000</v>
      </c>
    </row>
    <row r="153" spans="1:47" x14ac:dyDescent="0.3">
      <c r="A153" s="1">
        <v>46046</v>
      </c>
      <c r="B153" t="s">
        <v>398</v>
      </c>
      <c r="C153">
        <v>4</v>
      </c>
      <c r="D153" t="s">
        <v>64</v>
      </c>
      <c r="E153" t="s">
        <v>206</v>
      </c>
      <c r="F153" t="s">
        <v>80</v>
      </c>
      <c r="G153">
        <v>33</v>
      </c>
      <c r="H153">
        <v>33</v>
      </c>
      <c r="I153">
        <v>648000</v>
      </c>
      <c r="J153">
        <v>0.08</v>
      </c>
      <c r="K153" t="s">
        <v>51</v>
      </c>
      <c r="L153" s="1">
        <v>46051</v>
      </c>
      <c r="M153" s="1">
        <v>46054</v>
      </c>
      <c r="N153" t="s">
        <v>52</v>
      </c>
      <c r="P153">
        <v>151</v>
      </c>
      <c r="Q153" t="s">
        <v>68</v>
      </c>
      <c r="R153" t="s">
        <v>54</v>
      </c>
      <c r="S153" t="s">
        <v>69</v>
      </c>
      <c r="T153" t="s">
        <v>56</v>
      </c>
      <c r="U153" t="s">
        <v>207</v>
      </c>
      <c r="V153" t="s">
        <v>71</v>
      </c>
      <c r="W153" t="s">
        <v>72</v>
      </c>
      <c r="X153">
        <v>480000</v>
      </c>
      <c r="Y153">
        <v>648000</v>
      </c>
      <c r="Z153" t="s">
        <v>56</v>
      </c>
      <c r="AA153" t="s">
        <v>73</v>
      </c>
      <c r="AB153" t="s">
        <v>88</v>
      </c>
      <c r="AC153" t="s">
        <v>83</v>
      </c>
      <c r="AD153" t="s">
        <v>94</v>
      </c>
      <c r="AE153">
        <v>19673280</v>
      </c>
      <c r="AF153">
        <v>15840000</v>
      </c>
      <c r="AG153">
        <v>3833280</v>
      </c>
      <c r="AH153" t="b">
        <v>1</v>
      </c>
      <c r="AI153" t="b">
        <v>1</v>
      </c>
      <c r="AJ153">
        <v>0</v>
      </c>
      <c r="AK153">
        <v>3</v>
      </c>
      <c r="AL153" t="b">
        <v>1</v>
      </c>
      <c r="AM153" t="b">
        <v>0</v>
      </c>
      <c r="AN153">
        <v>19673280</v>
      </c>
      <c r="AO153">
        <v>3833280</v>
      </c>
      <c r="AP153">
        <v>33</v>
      </c>
      <c r="AQ153">
        <v>33</v>
      </c>
      <c r="AR153">
        <v>0</v>
      </c>
      <c r="AS153">
        <v>1</v>
      </c>
      <c r="AT153">
        <v>0</v>
      </c>
      <c r="AU153">
        <v>3833280</v>
      </c>
    </row>
    <row r="154" spans="1:47" x14ac:dyDescent="0.3">
      <c r="A154" s="1">
        <v>46028</v>
      </c>
      <c r="B154" t="s">
        <v>287</v>
      </c>
      <c r="C154">
        <v>3</v>
      </c>
      <c r="D154" t="s">
        <v>171</v>
      </c>
      <c r="E154" t="s">
        <v>315</v>
      </c>
      <c r="F154" t="s">
        <v>114</v>
      </c>
      <c r="G154">
        <v>3</v>
      </c>
      <c r="H154">
        <v>3</v>
      </c>
      <c r="I154">
        <v>2196000</v>
      </c>
      <c r="J154">
        <v>0.08</v>
      </c>
      <c r="K154" t="s">
        <v>51</v>
      </c>
      <c r="L154" s="1">
        <v>46029</v>
      </c>
      <c r="M154" s="1">
        <v>46028</v>
      </c>
      <c r="N154" t="s">
        <v>67</v>
      </c>
      <c r="P154">
        <v>152</v>
      </c>
      <c r="Q154" t="s">
        <v>172</v>
      </c>
      <c r="R154" t="s">
        <v>54</v>
      </c>
      <c r="S154" t="s">
        <v>84</v>
      </c>
      <c r="T154" t="s">
        <v>56</v>
      </c>
      <c r="U154" t="s">
        <v>316</v>
      </c>
      <c r="V154" t="s">
        <v>101</v>
      </c>
      <c r="W154" t="s">
        <v>102</v>
      </c>
      <c r="X154">
        <v>1800000</v>
      </c>
      <c r="Y154">
        <v>2196000</v>
      </c>
      <c r="Z154" t="s">
        <v>56</v>
      </c>
      <c r="AA154" t="s">
        <v>60</v>
      </c>
      <c r="AB154" t="s">
        <v>117</v>
      </c>
      <c r="AC154" t="s">
        <v>83</v>
      </c>
      <c r="AD154" t="s">
        <v>94</v>
      </c>
      <c r="AE154">
        <v>6060960</v>
      </c>
      <c r="AF154">
        <v>5400000</v>
      </c>
      <c r="AG154">
        <v>660960</v>
      </c>
      <c r="AH154" t="b">
        <v>1</v>
      </c>
      <c r="AI154" t="b">
        <v>1</v>
      </c>
      <c r="AJ154">
        <v>1</v>
      </c>
      <c r="AK154">
        <v>-1</v>
      </c>
      <c r="AL154" t="b">
        <v>1</v>
      </c>
      <c r="AM154" t="b">
        <v>0</v>
      </c>
      <c r="AN154">
        <v>6060960</v>
      </c>
      <c r="AO154">
        <v>660960</v>
      </c>
      <c r="AP154">
        <v>3</v>
      </c>
      <c r="AQ154">
        <v>3</v>
      </c>
      <c r="AR154">
        <v>1</v>
      </c>
      <c r="AS154">
        <v>1</v>
      </c>
      <c r="AT154">
        <v>0</v>
      </c>
      <c r="AU154">
        <v>660960</v>
      </c>
    </row>
    <row r="155" spans="1:47" x14ac:dyDescent="0.3">
      <c r="A155" s="1">
        <v>46031</v>
      </c>
      <c r="B155" t="s">
        <v>399</v>
      </c>
      <c r="C155">
        <v>4</v>
      </c>
      <c r="D155" t="s">
        <v>269</v>
      </c>
      <c r="E155" t="s">
        <v>348</v>
      </c>
      <c r="F155" t="s">
        <v>66</v>
      </c>
      <c r="G155">
        <v>-7</v>
      </c>
      <c r="H155">
        <v>-7</v>
      </c>
      <c r="I155">
        <v>566000</v>
      </c>
      <c r="J155">
        <v>0.05</v>
      </c>
      <c r="K155" t="s">
        <v>216</v>
      </c>
      <c r="L155" s="1">
        <v>46036</v>
      </c>
      <c r="M155" s="1">
        <v>46037</v>
      </c>
      <c r="N155" t="s">
        <v>106</v>
      </c>
      <c r="P155">
        <v>153</v>
      </c>
      <c r="Q155" t="s">
        <v>270</v>
      </c>
      <c r="R155" t="s">
        <v>83</v>
      </c>
      <c r="S155" t="s">
        <v>55</v>
      </c>
      <c r="T155" t="s">
        <v>56</v>
      </c>
      <c r="U155" t="s">
        <v>349</v>
      </c>
      <c r="V155" t="s">
        <v>109</v>
      </c>
      <c r="W155" t="s">
        <v>110</v>
      </c>
      <c r="X155">
        <v>480000</v>
      </c>
      <c r="Y155">
        <v>566000</v>
      </c>
      <c r="Z155" t="s">
        <v>56</v>
      </c>
      <c r="AA155" t="s">
        <v>60</v>
      </c>
      <c r="AB155" t="s">
        <v>74</v>
      </c>
      <c r="AC155" t="s">
        <v>75</v>
      </c>
      <c r="AD155" t="s">
        <v>94</v>
      </c>
      <c r="AE155">
        <v>-3763900</v>
      </c>
      <c r="AF155">
        <v>-3360000</v>
      </c>
      <c r="AG155">
        <v>-403900</v>
      </c>
      <c r="AH155" t="b">
        <v>1</v>
      </c>
      <c r="AI155" t="b">
        <v>1</v>
      </c>
      <c r="AJ155">
        <v>0</v>
      </c>
      <c r="AK155">
        <v>1</v>
      </c>
      <c r="AL155" t="b">
        <v>0</v>
      </c>
      <c r="AM155" t="b">
        <v>1</v>
      </c>
      <c r="AN155">
        <v>-3763900</v>
      </c>
      <c r="AO155">
        <v>-403900</v>
      </c>
      <c r="AP155">
        <v>0</v>
      </c>
      <c r="AQ155">
        <v>0</v>
      </c>
      <c r="AR155">
        <v>0</v>
      </c>
      <c r="AS155">
        <v>1</v>
      </c>
      <c r="AT155">
        <v>-3763900</v>
      </c>
      <c r="AU155">
        <v>-403900</v>
      </c>
    </row>
    <row r="156" spans="1:47" x14ac:dyDescent="0.3">
      <c r="A156" s="1">
        <v>46197</v>
      </c>
      <c r="B156" t="s">
        <v>400</v>
      </c>
      <c r="C156">
        <v>2</v>
      </c>
      <c r="D156" t="s">
        <v>188</v>
      </c>
      <c r="E156" t="s">
        <v>230</v>
      </c>
      <c r="F156" t="s">
        <v>80</v>
      </c>
      <c r="G156">
        <v>35</v>
      </c>
      <c r="H156">
        <v>34</v>
      </c>
      <c r="I156">
        <v>2196000</v>
      </c>
      <c r="J156">
        <v>0</v>
      </c>
      <c r="K156" t="s">
        <v>51</v>
      </c>
      <c r="L156" s="1">
        <v>46198</v>
      </c>
      <c r="M156" s="1">
        <v>46205</v>
      </c>
      <c r="N156" t="s">
        <v>106</v>
      </c>
      <c r="P156">
        <v>154</v>
      </c>
      <c r="Q156" t="s">
        <v>190</v>
      </c>
      <c r="R156" t="s">
        <v>83</v>
      </c>
      <c r="S156" t="s">
        <v>123</v>
      </c>
      <c r="T156" t="s">
        <v>56</v>
      </c>
      <c r="U156" t="s">
        <v>232</v>
      </c>
      <c r="V156" t="s">
        <v>101</v>
      </c>
      <c r="W156" t="s">
        <v>102</v>
      </c>
      <c r="X156">
        <v>1800000</v>
      </c>
      <c r="Y156">
        <v>2196000</v>
      </c>
      <c r="Z156" t="s">
        <v>56</v>
      </c>
      <c r="AA156" t="s">
        <v>129</v>
      </c>
      <c r="AB156" t="s">
        <v>88</v>
      </c>
      <c r="AC156" t="s">
        <v>83</v>
      </c>
      <c r="AD156" t="s">
        <v>118</v>
      </c>
      <c r="AE156">
        <v>74664000</v>
      </c>
      <c r="AF156">
        <v>61200000</v>
      </c>
      <c r="AG156">
        <v>13464000</v>
      </c>
      <c r="AH156" t="b">
        <v>1</v>
      </c>
      <c r="AI156" t="b">
        <v>1</v>
      </c>
      <c r="AJ156">
        <v>0</v>
      </c>
      <c r="AK156">
        <v>7</v>
      </c>
      <c r="AL156" t="b">
        <v>1</v>
      </c>
      <c r="AM156" t="b">
        <v>0</v>
      </c>
      <c r="AN156">
        <v>74664000</v>
      </c>
      <c r="AO156">
        <v>13464000</v>
      </c>
      <c r="AP156">
        <v>34</v>
      </c>
      <c r="AQ156">
        <v>35</v>
      </c>
      <c r="AR156">
        <v>0</v>
      </c>
      <c r="AS156">
        <v>1</v>
      </c>
      <c r="AT156">
        <v>0</v>
      </c>
      <c r="AU156">
        <v>13464000</v>
      </c>
    </row>
    <row r="157" spans="1:47" x14ac:dyDescent="0.3">
      <c r="A157" s="1">
        <v>46099</v>
      </c>
      <c r="B157" t="s">
        <v>323</v>
      </c>
      <c r="C157">
        <v>4</v>
      </c>
      <c r="D157" t="s">
        <v>265</v>
      </c>
      <c r="E157" t="s">
        <v>136</v>
      </c>
      <c r="F157" t="s">
        <v>80</v>
      </c>
      <c r="G157">
        <v>16</v>
      </c>
      <c r="H157">
        <v>16</v>
      </c>
      <c r="I157">
        <v>2304000</v>
      </c>
      <c r="J157">
        <v>0</v>
      </c>
      <c r="K157" t="s">
        <v>51</v>
      </c>
      <c r="L157" s="1">
        <v>46109</v>
      </c>
      <c r="M157" s="1">
        <v>46116</v>
      </c>
      <c r="N157" t="s">
        <v>106</v>
      </c>
      <c r="O157" t="s">
        <v>266</v>
      </c>
      <c r="P157">
        <v>155</v>
      </c>
      <c r="R157" t="s">
        <v>267</v>
      </c>
      <c r="U157" t="s">
        <v>137</v>
      </c>
      <c r="V157" t="s">
        <v>138</v>
      </c>
      <c r="W157" t="s">
        <v>139</v>
      </c>
      <c r="X157">
        <v>1800000</v>
      </c>
      <c r="Y157">
        <v>2304000</v>
      </c>
      <c r="Z157" t="s">
        <v>56</v>
      </c>
      <c r="AA157" t="s">
        <v>129</v>
      </c>
      <c r="AB157" t="s">
        <v>88</v>
      </c>
      <c r="AC157" t="s">
        <v>83</v>
      </c>
      <c r="AD157" t="s">
        <v>62</v>
      </c>
      <c r="AE157">
        <v>36864000</v>
      </c>
      <c r="AF157">
        <v>28800000</v>
      </c>
      <c r="AG157">
        <v>8064000</v>
      </c>
      <c r="AH157" t="b">
        <v>1</v>
      </c>
      <c r="AI157" t="b">
        <v>1</v>
      </c>
      <c r="AJ157">
        <v>0</v>
      </c>
      <c r="AK157">
        <v>7</v>
      </c>
      <c r="AL157" t="b">
        <v>1</v>
      </c>
      <c r="AM157" t="b">
        <v>0</v>
      </c>
      <c r="AN157">
        <v>36864000</v>
      </c>
      <c r="AO157">
        <v>8064000</v>
      </c>
      <c r="AP157">
        <v>16</v>
      </c>
      <c r="AQ157">
        <v>16</v>
      </c>
      <c r="AR157">
        <v>0</v>
      </c>
      <c r="AS157">
        <v>1</v>
      </c>
      <c r="AT157">
        <v>0</v>
      </c>
      <c r="AU157">
        <v>8064000</v>
      </c>
    </row>
    <row r="158" spans="1:47" x14ac:dyDescent="0.3">
      <c r="A158" s="1">
        <v>46031</v>
      </c>
      <c r="B158" t="s">
        <v>401</v>
      </c>
      <c r="C158">
        <v>1</v>
      </c>
      <c r="D158" t="s">
        <v>326</v>
      </c>
      <c r="E158" t="s">
        <v>315</v>
      </c>
      <c r="F158" t="s">
        <v>114</v>
      </c>
      <c r="G158">
        <v>7</v>
      </c>
      <c r="H158">
        <v>5</v>
      </c>
      <c r="I158">
        <v>2196000</v>
      </c>
      <c r="J158">
        <v>0.1</v>
      </c>
      <c r="K158" t="s">
        <v>51</v>
      </c>
      <c r="L158" s="1">
        <v>46041</v>
      </c>
      <c r="M158" s="1">
        <v>46048</v>
      </c>
      <c r="N158" t="s">
        <v>106</v>
      </c>
      <c r="P158">
        <v>156</v>
      </c>
      <c r="Q158" t="s">
        <v>327</v>
      </c>
      <c r="R158" t="s">
        <v>54</v>
      </c>
      <c r="S158" t="s">
        <v>69</v>
      </c>
      <c r="T158" t="s">
        <v>56</v>
      </c>
      <c r="U158" t="s">
        <v>316</v>
      </c>
      <c r="V158" t="s">
        <v>101</v>
      </c>
      <c r="W158" t="s">
        <v>102</v>
      </c>
      <c r="X158">
        <v>1800000</v>
      </c>
      <c r="Y158">
        <v>2196000</v>
      </c>
      <c r="Z158" t="s">
        <v>56</v>
      </c>
      <c r="AA158" t="s">
        <v>60</v>
      </c>
      <c r="AB158" t="s">
        <v>117</v>
      </c>
      <c r="AC158" t="s">
        <v>83</v>
      </c>
      <c r="AD158" t="s">
        <v>94</v>
      </c>
      <c r="AE158">
        <v>9882000</v>
      </c>
      <c r="AF158">
        <v>9000000</v>
      </c>
      <c r="AG158">
        <v>882000</v>
      </c>
      <c r="AH158" t="b">
        <v>1</v>
      </c>
      <c r="AI158" t="b">
        <v>1</v>
      </c>
      <c r="AJ158">
        <v>0</v>
      </c>
      <c r="AK158">
        <v>7</v>
      </c>
      <c r="AL158" t="b">
        <v>1</v>
      </c>
      <c r="AM158" t="b">
        <v>0</v>
      </c>
      <c r="AN158">
        <v>9882000</v>
      </c>
      <c r="AO158">
        <v>882000</v>
      </c>
      <c r="AP158">
        <v>5</v>
      </c>
      <c r="AQ158">
        <v>7</v>
      </c>
      <c r="AR158">
        <v>0</v>
      </c>
      <c r="AS158">
        <v>1</v>
      </c>
      <c r="AT158">
        <v>0</v>
      </c>
      <c r="AU158">
        <v>882000</v>
      </c>
    </row>
    <row r="159" spans="1:47" x14ac:dyDescent="0.3">
      <c r="A159" s="1">
        <v>46085</v>
      </c>
      <c r="B159" t="s">
        <v>402</v>
      </c>
      <c r="C159">
        <v>4</v>
      </c>
      <c r="D159" t="s">
        <v>229</v>
      </c>
      <c r="E159" t="s">
        <v>203</v>
      </c>
      <c r="F159" t="s">
        <v>80</v>
      </c>
      <c r="G159">
        <v>4</v>
      </c>
      <c r="H159">
        <v>4</v>
      </c>
      <c r="I159">
        <v>2124000</v>
      </c>
      <c r="J159">
        <v>0.1</v>
      </c>
      <c r="K159" t="s">
        <v>51</v>
      </c>
      <c r="L159" s="1">
        <v>46092</v>
      </c>
      <c r="M159" s="1">
        <v>46092</v>
      </c>
      <c r="N159" t="s">
        <v>52</v>
      </c>
      <c r="P159">
        <v>157</v>
      </c>
      <c r="Q159" t="s">
        <v>231</v>
      </c>
      <c r="R159" t="s">
        <v>83</v>
      </c>
      <c r="S159" t="s">
        <v>123</v>
      </c>
      <c r="T159" t="s">
        <v>56</v>
      </c>
      <c r="U159" t="s">
        <v>204</v>
      </c>
      <c r="V159" t="s">
        <v>109</v>
      </c>
      <c r="W159" t="s">
        <v>110</v>
      </c>
      <c r="X159">
        <v>1800000</v>
      </c>
      <c r="Y159">
        <v>2124000</v>
      </c>
      <c r="Z159" t="s">
        <v>56</v>
      </c>
      <c r="AA159" t="s">
        <v>73</v>
      </c>
      <c r="AB159" t="s">
        <v>88</v>
      </c>
      <c r="AC159" t="s">
        <v>83</v>
      </c>
      <c r="AD159" t="s">
        <v>62</v>
      </c>
      <c r="AE159">
        <v>7646400</v>
      </c>
      <c r="AF159">
        <v>7200000</v>
      </c>
      <c r="AG159">
        <v>446400</v>
      </c>
      <c r="AH159" t="b">
        <v>1</v>
      </c>
      <c r="AI159" t="b">
        <v>1</v>
      </c>
      <c r="AJ159">
        <v>1</v>
      </c>
      <c r="AK159">
        <v>0</v>
      </c>
      <c r="AL159" t="b">
        <v>1</v>
      </c>
      <c r="AM159" t="b">
        <v>0</v>
      </c>
      <c r="AN159">
        <v>7646400</v>
      </c>
      <c r="AO159">
        <v>446400</v>
      </c>
      <c r="AP159">
        <v>4</v>
      </c>
      <c r="AQ159">
        <v>4</v>
      </c>
      <c r="AR159">
        <v>1</v>
      </c>
      <c r="AS159">
        <v>1</v>
      </c>
      <c r="AT159">
        <v>0</v>
      </c>
      <c r="AU159">
        <v>446400</v>
      </c>
    </row>
    <row r="160" spans="1:47" x14ac:dyDescent="0.3">
      <c r="A160" s="1">
        <v>46083</v>
      </c>
      <c r="B160" t="s">
        <v>403</v>
      </c>
      <c r="C160">
        <v>2</v>
      </c>
      <c r="D160" t="s">
        <v>223</v>
      </c>
      <c r="E160" t="s">
        <v>203</v>
      </c>
      <c r="F160" t="s">
        <v>66</v>
      </c>
      <c r="G160">
        <v>20</v>
      </c>
      <c r="H160">
        <v>17</v>
      </c>
      <c r="I160">
        <v>2124000</v>
      </c>
      <c r="J160">
        <v>0.1</v>
      </c>
      <c r="K160" t="s">
        <v>51</v>
      </c>
      <c r="L160" s="1">
        <v>46085</v>
      </c>
      <c r="M160" s="1">
        <v>46088</v>
      </c>
      <c r="N160" t="s">
        <v>67</v>
      </c>
      <c r="P160">
        <v>158</v>
      </c>
      <c r="Q160" t="s">
        <v>224</v>
      </c>
      <c r="R160" t="s">
        <v>83</v>
      </c>
      <c r="S160" t="s">
        <v>55</v>
      </c>
      <c r="T160" t="s">
        <v>56</v>
      </c>
      <c r="U160" t="s">
        <v>204</v>
      </c>
      <c r="V160" t="s">
        <v>109</v>
      </c>
      <c r="W160" t="s">
        <v>110</v>
      </c>
      <c r="X160">
        <v>1800000</v>
      </c>
      <c r="Y160">
        <v>2124000</v>
      </c>
      <c r="Z160" t="s">
        <v>56</v>
      </c>
      <c r="AA160" t="s">
        <v>73</v>
      </c>
      <c r="AB160" t="s">
        <v>74</v>
      </c>
      <c r="AC160" t="s">
        <v>75</v>
      </c>
      <c r="AD160" t="s">
        <v>62</v>
      </c>
      <c r="AE160">
        <v>32497200</v>
      </c>
      <c r="AF160">
        <v>30600000</v>
      </c>
      <c r="AG160">
        <v>1897200</v>
      </c>
      <c r="AH160" t="b">
        <v>1</v>
      </c>
      <c r="AI160" t="b">
        <v>1</v>
      </c>
      <c r="AJ160">
        <v>0</v>
      </c>
      <c r="AK160">
        <v>3</v>
      </c>
      <c r="AL160" t="b">
        <v>1</v>
      </c>
      <c r="AM160" t="b">
        <v>0</v>
      </c>
      <c r="AN160">
        <v>32497200</v>
      </c>
      <c r="AO160">
        <v>1897200</v>
      </c>
      <c r="AP160">
        <v>17</v>
      </c>
      <c r="AQ160">
        <v>20</v>
      </c>
      <c r="AR160">
        <v>0</v>
      </c>
      <c r="AS160">
        <v>1</v>
      </c>
      <c r="AT160">
        <v>0</v>
      </c>
      <c r="AU160">
        <v>1897200</v>
      </c>
    </row>
    <row r="161" spans="1:47" x14ac:dyDescent="0.3">
      <c r="A161" s="1">
        <v>46165</v>
      </c>
      <c r="B161" t="s">
        <v>404</v>
      </c>
      <c r="C161">
        <v>1</v>
      </c>
      <c r="D161" t="s">
        <v>188</v>
      </c>
      <c r="E161" t="s">
        <v>136</v>
      </c>
      <c r="F161" t="s">
        <v>50</v>
      </c>
      <c r="G161">
        <v>27</v>
      </c>
      <c r="H161">
        <v>27</v>
      </c>
      <c r="I161">
        <v>2304000</v>
      </c>
      <c r="J161">
        <v>0</v>
      </c>
      <c r="K161" t="s">
        <v>51</v>
      </c>
      <c r="L161" s="1">
        <v>46172</v>
      </c>
      <c r="M161" s="1">
        <v>46173</v>
      </c>
      <c r="N161" t="s">
        <v>81</v>
      </c>
      <c r="P161">
        <v>159</v>
      </c>
      <c r="Q161" t="s">
        <v>190</v>
      </c>
      <c r="R161" t="s">
        <v>83</v>
      </c>
      <c r="S161" t="s">
        <v>123</v>
      </c>
      <c r="T161" t="s">
        <v>56</v>
      </c>
      <c r="U161" t="s">
        <v>137</v>
      </c>
      <c r="V161" t="s">
        <v>138</v>
      </c>
      <c r="W161" t="s">
        <v>139</v>
      </c>
      <c r="X161">
        <v>1800000</v>
      </c>
      <c r="Y161">
        <v>2304000</v>
      </c>
      <c r="Z161" t="s">
        <v>56</v>
      </c>
      <c r="AA161" t="s">
        <v>129</v>
      </c>
      <c r="AB161" t="s">
        <v>61</v>
      </c>
      <c r="AC161" t="s">
        <v>54</v>
      </c>
      <c r="AD161" t="s">
        <v>76</v>
      </c>
      <c r="AE161">
        <v>62208000</v>
      </c>
      <c r="AF161">
        <v>48600000</v>
      </c>
      <c r="AG161">
        <v>13608000</v>
      </c>
      <c r="AH161" t="b">
        <v>1</v>
      </c>
      <c r="AI161" t="b">
        <v>1</v>
      </c>
      <c r="AJ161">
        <v>0</v>
      </c>
      <c r="AK161">
        <v>1</v>
      </c>
      <c r="AL161" t="b">
        <v>1</v>
      </c>
      <c r="AM161" t="b">
        <v>0</v>
      </c>
      <c r="AN161">
        <v>62208000</v>
      </c>
      <c r="AO161">
        <v>13608000</v>
      </c>
      <c r="AP161">
        <v>27</v>
      </c>
      <c r="AQ161">
        <v>27</v>
      </c>
      <c r="AR161">
        <v>0</v>
      </c>
      <c r="AS161">
        <v>1</v>
      </c>
      <c r="AT161">
        <v>0</v>
      </c>
      <c r="AU161">
        <v>13608000</v>
      </c>
    </row>
    <row r="162" spans="1:47" x14ac:dyDescent="0.3">
      <c r="A162" s="1">
        <v>46080</v>
      </c>
      <c r="B162" t="s">
        <v>405</v>
      </c>
      <c r="C162">
        <v>2</v>
      </c>
      <c r="D162" t="s">
        <v>182</v>
      </c>
      <c r="E162" t="s">
        <v>220</v>
      </c>
      <c r="F162" t="s">
        <v>66</v>
      </c>
      <c r="G162">
        <v>27</v>
      </c>
      <c r="H162">
        <v>27</v>
      </c>
      <c r="I162">
        <v>234000</v>
      </c>
      <c r="J162">
        <v>0</v>
      </c>
      <c r="K162" t="s">
        <v>51</v>
      </c>
      <c r="L162" s="1">
        <v>46083</v>
      </c>
      <c r="M162" s="1">
        <v>46083</v>
      </c>
      <c r="N162" t="s">
        <v>52</v>
      </c>
      <c r="P162">
        <v>160</v>
      </c>
      <c r="Q162" t="s">
        <v>183</v>
      </c>
      <c r="R162" t="s">
        <v>75</v>
      </c>
      <c r="S162" t="s">
        <v>69</v>
      </c>
      <c r="T162" t="s">
        <v>56</v>
      </c>
      <c r="U162" t="s">
        <v>221</v>
      </c>
      <c r="V162" t="s">
        <v>58</v>
      </c>
      <c r="W162" t="s">
        <v>59</v>
      </c>
      <c r="X162">
        <v>180000</v>
      </c>
      <c r="Y162">
        <v>234000</v>
      </c>
      <c r="Z162" t="s">
        <v>56</v>
      </c>
      <c r="AA162" t="s">
        <v>60</v>
      </c>
      <c r="AB162" t="s">
        <v>74</v>
      </c>
      <c r="AC162" t="s">
        <v>75</v>
      </c>
      <c r="AD162" t="s">
        <v>158</v>
      </c>
      <c r="AE162">
        <v>6318000</v>
      </c>
      <c r="AF162">
        <v>4860000</v>
      </c>
      <c r="AG162">
        <v>1458000</v>
      </c>
      <c r="AH162" t="b">
        <v>1</v>
      </c>
      <c r="AI162" t="b">
        <v>1</v>
      </c>
      <c r="AJ162">
        <v>1</v>
      </c>
      <c r="AK162">
        <v>0</v>
      </c>
      <c r="AL162" t="b">
        <v>1</v>
      </c>
      <c r="AM162" t="b">
        <v>0</v>
      </c>
      <c r="AN162">
        <v>6318000</v>
      </c>
      <c r="AO162">
        <v>1458000</v>
      </c>
      <c r="AP162">
        <v>27</v>
      </c>
      <c r="AQ162">
        <v>27</v>
      </c>
      <c r="AR162">
        <v>1</v>
      </c>
      <c r="AS162">
        <v>1</v>
      </c>
      <c r="AT162">
        <v>0</v>
      </c>
      <c r="AU162">
        <v>1458000</v>
      </c>
    </row>
    <row r="163" spans="1:47" x14ac:dyDescent="0.3">
      <c r="A163" s="1">
        <v>46188</v>
      </c>
      <c r="B163" t="s">
        <v>406</v>
      </c>
      <c r="C163">
        <v>4</v>
      </c>
      <c r="D163" t="s">
        <v>300</v>
      </c>
      <c r="E163" t="s">
        <v>65</v>
      </c>
      <c r="F163" t="s">
        <v>80</v>
      </c>
      <c r="G163">
        <v>4</v>
      </c>
      <c r="H163">
        <v>1</v>
      </c>
      <c r="I163">
        <v>2430000</v>
      </c>
      <c r="J163">
        <v>0.08</v>
      </c>
      <c r="K163" t="s">
        <v>51</v>
      </c>
      <c r="L163" s="1">
        <v>46189</v>
      </c>
      <c r="M163" s="1">
        <v>46196</v>
      </c>
      <c r="N163" t="s">
        <v>106</v>
      </c>
      <c r="P163">
        <v>161</v>
      </c>
      <c r="Q163" t="s">
        <v>301</v>
      </c>
      <c r="R163" t="s">
        <v>83</v>
      </c>
      <c r="S163" t="s">
        <v>123</v>
      </c>
      <c r="T163" t="s">
        <v>56</v>
      </c>
      <c r="U163" t="s">
        <v>70</v>
      </c>
      <c r="V163" t="s">
        <v>71</v>
      </c>
      <c r="W163" t="s">
        <v>72</v>
      </c>
      <c r="X163">
        <v>1800000</v>
      </c>
      <c r="Y163">
        <v>2430000</v>
      </c>
      <c r="Z163" t="s">
        <v>56</v>
      </c>
      <c r="AA163" t="s">
        <v>73</v>
      </c>
      <c r="AB163" t="s">
        <v>88</v>
      </c>
      <c r="AC163" t="s">
        <v>83</v>
      </c>
      <c r="AD163" t="s">
        <v>118</v>
      </c>
      <c r="AE163">
        <v>2235600</v>
      </c>
      <c r="AF163">
        <v>1800000</v>
      </c>
      <c r="AG163">
        <v>435600</v>
      </c>
      <c r="AH163" t="b">
        <v>1</v>
      </c>
      <c r="AI163" t="b">
        <v>1</v>
      </c>
      <c r="AJ163">
        <v>0</v>
      </c>
      <c r="AK163">
        <v>7</v>
      </c>
      <c r="AL163" t="b">
        <v>1</v>
      </c>
      <c r="AM163" t="b">
        <v>0</v>
      </c>
      <c r="AN163">
        <v>2235600</v>
      </c>
      <c r="AO163">
        <v>435600</v>
      </c>
      <c r="AP163">
        <v>1</v>
      </c>
      <c r="AQ163">
        <v>4</v>
      </c>
      <c r="AR163">
        <v>0</v>
      </c>
      <c r="AS163">
        <v>1</v>
      </c>
      <c r="AT163">
        <v>0</v>
      </c>
      <c r="AU163">
        <v>435600</v>
      </c>
    </row>
    <row r="164" spans="1:47" x14ac:dyDescent="0.3">
      <c r="A164" s="1">
        <v>46071</v>
      </c>
      <c r="B164" t="s">
        <v>407</v>
      </c>
      <c r="C164">
        <v>2</v>
      </c>
      <c r="D164" t="s">
        <v>215</v>
      </c>
      <c r="E164" t="s">
        <v>315</v>
      </c>
      <c r="F164" t="s">
        <v>50</v>
      </c>
      <c r="G164">
        <v>-1</v>
      </c>
      <c r="H164">
        <v>-1</v>
      </c>
      <c r="I164">
        <v>2196000</v>
      </c>
      <c r="J164">
        <v>0</v>
      </c>
      <c r="K164" t="s">
        <v>216</v>
      </c>
      <c r="L164" s="1">
        <v>46073</v>
      </c>
      <c r="M164" s="1">
        <v>46076</v>
      </c>
      <c r="N164" t="s">
        <v>106</v>
      </c>
      <c r="P164">
        <v>162</v>
      </c>
      <c r="Q164" t="s">
        <v>217</v>
      </c>
      <c r="R164" t="s">
        <v>54</v>
      </c>
      <c r="S164" t="s">
        <v>69</v>
      </c>
      <c r="T164" t="s">
        <v>218</v>
      </c>
      <c r="U164" t="s">
        <v>316</v>
      </c>
      <c r="V164" t="s">
        <v>101</v>
      </c>
      <c r="W164" t="s">
        <v>102</v>
      </c>
      <c r="X164">
        <v>1800000</v>
      </c>
      <c r="Y164">
        <v>2196000</v>
      </c>
      <c r="Z164" t="s">
        <v>56</v>
      </c>
      <c r="AA164" t="s">
        <v>60</v>
      </c>
      <c r="AB164" t="s">
        <v>61</v>
      </c>
      <c r="AC164" t="s">
        <v>54</v>
      </c>
      <c r="AD164" t="s">
        <v>158</v>
      </c>
      <c r="AE164">
        <v>-2196000</v>
      </c>
      <c r="AF164">
        <v>-1800000</v>
      </c>
      <c r="AG164">
        <v>-396000</v>
      </c>
      <c r="AH164" t="b">
        <v>1</v>
      </c>
      <c r="AI164" t="b">
        <v>1</v>
      </c>
      <c r="AJ164">
        <v>0</v>
      </c>
      <c r="AK164">
        <v>3</v>
      </c>
      <c r="AL164" t="b">
        <v>0</v>
      </c>
      <c r="AM164" t="b">
        <v>1</v>
      </c>
      <c r="AN164">
        <v>-2196000</v>
      </c>
      <c r="AO164">
        <v>-396000</v>
      </c>
      <c r="AP164">
        <v>0</v>
      </c>
      <c r="AQ164">
        <v>0</v>
      </c>
      <c r="AR164">
        <v>0</v>
      </c>
      <c r="AS164">
        <v>1</v>
      </c>
      <c r="AT164">
        <v>-2196000</v>
      </c>
      <c r="AU164">
        <v>-396000</v>
      </c>
    </row>
    <row r="165" spans="1:47" x14ac:dyDescent="0.3">
      <c r="A165" s="1">
        <v>46145</v>
      </c>
      <c r="B165" t="s">
        <v>408</v>
      </c>
      <c r="C165">
        <v>2</v>
      </c>
      <c r="D165" t="s">
        <v>151</v>
      </c>
      <c r="E165" t="s">
        <v>152</v>
      </c>
      <c r="F165" t="s">
        <v>50</v>
      </c>
      <c r="G165">
        <v>19</v>
      </c>
      <c r="H165">
        <v>16</v>
      </c>
      <c r="I165">
        <v>845000</v>
      </c>
      <c r="J165">
        <v>0.02</v>
      </c>
      <c r="K165" t="s">
        <v>51</v>
      </c>
      <c r="L165" s="1">
        <v>46148</v>
      </c>
      <c r="M165" s="1">
        <v>46148</v>
      </c>
      <c r="N165" t="s">
        <v>52</v>
      </c>
      <c r="P165">
        <v>163</v>
      </c>
      <c r="Q165" t="s">
        <v>153</v>
      </c>
      <c r="R165" t="s">
        <v>75</v>
      </c>
      <c r="S165" t="s">
        <v>69</v>
      </c>
      <c r="T165" t="s">
        <v>56</v>
      </c>
      <c r="U165" t="s">
        <v>154</v>
      </c>
      <c r="V165" t="s">
        <v>58</v>
      </c>
      <c r="W165" t="s">
        <v>59</v>
      </c>
      <c r="X165">
        <v>650000</v>
      </c>
      <c r="Y165">
        <v>845000</v>
      </c>
      <c r="Z165" t="s">
        <v>56</v>
      </c>
      <c r="AA165" t="s">
        <v>73</v>
      </c>
      <c r="AB165" t="s">
        <v>61</v>
      </c>
      <c r="AC165" t="s">
        <v>54</v>
      </c>
      <c r="AD165" t="s">
        <v>76</v>
      </c>
      <c r="AE165">
        <v>13249600</v>
      </c>
      <c r="AF165">
        <v>10400000</v>
      </c>
      <c r="AG165">
        <v>2849600</v>
      </c>
      <c r="AH165" t="b">
        <v>1</v>
      </c>
      <c r="AI165" t="b">
        <v>1</v>
      </c>
      <c r="AJ165">
        <v>1</v>
      </c>
      <c r="AK165">
        <v>0</v>
      </c>
      <c r="AL165" t="b">
        <v>1</v>
      </c>
      <c r="AM165" t="b">
        <v>0</v>
      </c>
      <c r="AN165">
        <v>13249600</v>
      </c>
      <c r="AO165">
        <v>2849600</v>
      </c>
      <c r="AP165">
        <v>16</v>
      </c>
      <c r="AQ165">
        <v>19</v>
      </c>
      <c r="AR165">
        <v>1</v>
      </c>
      <c r="AS165">
        <v>1</v>
      </c>
      <c r="AT165">
        <v>0</v>
      </c>
      <c r="AU165">
        <v>2849600</v>
      </c>
    </row>
    <row r="166" spans="1:47" x14ac:dyDescent="0.3">
      <c r="A166" s="1">
        <v>46154</v>
      </c>
      <c r="B166" t="s">
        <v>409</v>
      </c>
      <c r="C166">
        <v>4</v>
      </c>
      <c r="D166" t="s">
        <v>336</v>
      </c>
      <c r="E166" t="s">
        <v>273</v>
      </c>
      <c r="F166" t="s">
        <v>50</v>
      </c>
      <c r="G166">
        <v>14</v>
      </c>
      <c r="H166">
        <v>14</v>
      </c>
      <c r="I166">
        <v>2304000</v>
      </c>
      <c r="J166">
        <v>0.08</v>
      </c>
      <c r="K166" t="s">
        <v>51</v>
      </c>
      <c r="L166" s="1">
        <v>46156</v>
      </c>
      <c r="M166" s="1">
        <v>46159</v>
      </c>
      <c r="N166" t="s">
        <v>81</v>
      </c>
      <c r="P166">
        <v>164</v>
      </c>
      <c r="Q166" t="s">
        <v>337</v>
      </c>
      <c r="R166" t="s">
        <v>75</v>
      </c>
      <c r="S166" t="s">
        <v>84</v>
      </c>
      <c r="T166" t="s">
        <v>56</v>
      </c>
      <c r="U166" t="s">
        <v>274</v>
      </c>
      <c r="V166" t="s">
        <v>138</v>
      </c>
      <c r="W166" t="s">
        <v>139</v>
      </c>
      <c r="X166">
        <v>1800000</v>
      </c>
      <c r="Y166">
        <v>2304000</v>
      </c>
      <c r="Z166" t="s">
        <v>56</v>
      </c>
      <c r="AA166" t="s">
        <v>73</v>
      </c>
      <c r="AB166" t="s">
        <v>61</v>
      </c>
      <c r="AC166" t="s">
        <v>54</v>
      </c>
      <c r="AD166" t="s">
        <v>76</v>
      </c>
      <c r="AE166">
        <v>29675520</v>
      </c>
      <c r="AF166">
        <v>25200000</v>
      </c>
      <c r="AG166">
        <v>4475520</v>
      </c>
      <c r="AH166" t="b">
        <v>1</v>
      </c>
      <c r="AI166" t="b">
        <v>1</v>
      </c>
      <c r="AJ166">
        <v>0</v>
      </c>
      <c r="AK166">
        <v>3</v>
      </c>
      <c r="AL166" t="b">
        <v>1</v>
      </c>
      <c r="AM166" t="b">
        <v>0</v>
      </c>
      <c r="AN166">
        <v>29675520</v>
      </c>
      <c r="AO166">
        <v>4475520</v>
      </c>
      <c r="AP166">
        <v>14</v>
      </c>
      <c r="AQ166">
        <v>14</v>
      </c>
      <c r="AR166">
        <v>0</v>
      </c>
      <c r="AS166">
        <v>1</v>
      </c>
      <c r="AT166">
        <v>0</v>
      </c>
      <c r="AU166">
        <v>4475520</v>
      </c>
    </row>
    <row r="167" spans="1:47" x14ac:dyDescent="0.3">
      <c r="A167" s="1">
        <v>46027</v>
      </c>
      <c r="B167" t="s">
        <v>119</v>
      </c>
      <c r="C167">
        <v>4</v>
      </c>
      <c r="D167" t="s">
        <v>163</v>
      </c>
      <c r="E167" t="s">
        <v>49</v>
      </c>
      <c r="F167" t="s">
        <v>80</v>
      </c>
      <c r="G167">
        <v>22</v>
      </c>
      <c r="H167">
        <v>22</v>
      </c>
      <c r="I167">
        <v>1170000</v>
      </c>
      <c r="J167">
        <v>0.05</v>
      </c>
      <c r="K167" t="s">
        <v>51</v>
      </c>
      <c r="L167" s="1">
        <v>46034</v>
      </c>
      <c r="M167" s="1">
        <v>46037</v>
      </c>
      <c r="N167" t="s">
        <v>52</v>
      </c>
      <c r="P167">
        <v>165</v>
      </c>
      <c r="Q167" t="s">
        <v>164</v>
      </c>
      <c r="R167" t="s">
        <v>75</v>
      </c>
      <c r="S167" t="s">
        <v>69</v>
      </c>
      <c r="T167" t="s">
        <v>56</v>
      </c>
      <c r="U167" t="s">
        <v>57</v>
      </c>
      <c r="V167" t="s">
        <v>58</v>
      </c>
      <c r="W167" t="s">
        <v>59</v>
      </c>
      <c r="X167">
        <v>900000</v>
      </c>
      <c r="Y167">
        <v>1170000</v>
      </c>
      <c r="Z167" t="s">
        <v>56</v>
      </c>
      <c r="AA167" t="s">
        <v>60</v>
      </c>
      <c r="AB167" t="s">
        <v>88</v>
      </c>
      <c r="AC167" t="s">
        <v>83</v>
      </c>
      <c r="AD167" t="s">
        <v>94</v>
      </c>
      <c r="AE167">
        <v>24453000</v>
      </c>
      <c r="AF167">
        <v>19800000</v>
      </c>
      <c r="AG167">
        <v>4653000</v>
      </c>
      <c r="AH167" t="b">
        <v>1</v>
      </c>
      <c r="AI167" t="b">
        <v>1</v>
      </c>
      <c r="AJ167">
        <v>0</v>
      </c>
      <c r="AK167">
        <v>3</v>
      </c>
      <c r="AL167" t="b">
        <v>1</v>
      </c>
      <c r="AM167" t="b">
        <v>0</v>
      </c>
      <c r="AN167">
        <v>24453000</v>
      </c>
      <c r="AO167">
        <v>4653000</v>
      </c>
      <c r="AP167">
        <v>22</v>
      </c>
      <c r="AQ167">
        <v>22</v>
      </c>
      <c r="AR167">
        <v>0</v>
      </c>
      <c r="AS167">
        <v>1</v>
      </c>
      <c r="AT167">
        <v>0</v>
      </c>
      <c r="AU167">
        <v>4653000</v>
      </c>
    </row>
    <row r="168" spans="1:47" x14ac:dyDescent="0.3">
      <c r="A168" s="1">
        <v>46088</v>
      </c>
      <c r="B168" t="s">
        <v>410</v>
      </c>
      <c r="C168">
        <v>4</v>
      </c>
      <c r="D168" t="s">
        <v>182</v>
      </c>
      <c r="E168" t="s">
        <v>311</v>
      </c>
      <c r="F168" t="s">
        <v>50</v>
      </c>
      <c r="G168">
        <v>11</v>
      </c>
      <c r="H168">
        <v>11</v>
      </c>
      <c r="I168">
        <v>437000</v>
      </c>
      <c r="J168">
        <v>0</v>
      </c>
      <c r="K168" t="s">
        <v>51</v>
      </c>
      <c r="L168" s="1">
        <v>46095</v>
      </c>
      <c r="M168" s="1">
        <v>46098</v>
      </c>
      <c r="N168" t="s">
        <v>106</v>
      </c>
      <c r="P168">
        <v>166</v>
      </c>
      <c r="Q168" t="s">
        <v>183</v>
      </c>
      <c r="R168" t="s">
        <v>75</v>
      </c>
      <c r="S168" t="s">
        <v>69</v>
      </c>
      <c r="T168" t="s">
        <v>56</v>
      </c>
      <c r="U168" t="s">
        <v>312</v>
      </c>
      <c r="V168" t="s">
        <v>86</v>
      </c>
      <c r="W168" t="s">
        <v>87</v>
      </c>
      <c r="X168">
        <v>350000</v>
      </c>
      <c r="Y168">
        <v>437000</v>
      </c>
      <c r="Z168" t="s">
        <v>56</v>
      </c>
      <c r="AA168" t="s">
        <v>60</v>
      </c>
      <c r="AB168" t="s">
        <v>61</v>
      </c>
      <c r="AC168" t="s">
        <v>54</v>
      </c>
      <c r="AD168" t="s">
        <v>62</v>
      </c>
      <c r="AE168">
        <v>4807000</v>
      </c>
      <c r="AF168">
        <v>3850000</v>
      </c>
      <c r="AG168">
        <v>957000</v>
      </c>
      <c r="AH168" t="b">
        <v>1</v>
      </c>
      <c r="AI168" t="b">
        <v>1</v>
      </c>
      <c r="AJ168">
        <v>0</v>
      </c>
      <c r="AK168">
        <v>3</v>
      </c>
      <c r="AL168" t="b">
        <v>1</v>
      </c>
      <c r="AM168" t="b">
        <v>0</v>
      </c>
      <c r="AN168">
        <v>4807000</v>
      </c>
      <c r="AO168">
        <v>957000</v>
      </c>
      <c r="AP168">
        <v>11</v>
      </c>
      <c r="AQ168">
        <v>11</v>
      </c>
      <c r="AR168">
        <v>0</v>
      </c>
      <c r="AS168">
        <v>1</v>
      </c>
      <c r="AT168">
        <v>0</v>
      </c>
      <c r="AU168">
        <v>957000</v>
      </c>
    </row>
    <row r="169" spans="1:47" x14ac:dyDescent="0.3">
      <c r="A169" s="1">
        <v>46157</v>
      </c>
      <c r="B169" t="s">
        <v>411</v>
      </c>
      <c r="C169">
        <v>1</v>
      </c>
      <c r="D169" t="s">
        <v>64</v>
      </c>
      <c r="E169" t="s">
        <v>282</v>
      </c>
      <c r="F169" t="s">
        <v>66</v>
      </c>
      <c r="G169">
        <v>9</v>
      </c>
      <c r="H169">
        <v>3</v>
      </c>
      <c r="I169">
        <v>230000</v>
      </c>
      <c r="J169">
        <v>0</v>
      </c>
      <c r="K169" t="s">
        <v>98</v>
      </c>
      <c r="L169" s="1">
        <v>46167</v>
      </c>
      <c r="N169" t="s">
        <v>81</v>
      </c>
      <c r="P169">
        <v>167</v>
      </c>
      <c r="Q169" t="s">
        <v>68</v>
      </c>
      <c r="R169" t="s">
        <v>54</v>
      </c>
      <c r="S169" t="s">
        <v>69</v>
      </c>
      <c r="T169" t="s">
        <v>56</v>
      </c>
      <c r="U169" t="s">
        <v>283</v>
      </c>
      <c r="V169" t="s">
        <v>138</v>
      </c>
      <c r="W169" t="s">
        <v>139</v>
      </c>
      <c r="X169">
        <v>180000</v>
      </c>
      <c r="Y169">
        <v>230000</v>
      </c>
      <c r="Z169" t="s">
        <v>56</v>
      </c>
      <c r="AA169" t="s">
        <v>129</v>
      </c>
      <c r="AB169" t="s">
        <v>74</v>
      </c>
      <c r="AC169" t="s">
        <v>75</v>
      </c>
      <c r="AD169" t="s">
        <v>76</v>
      </c>
      <c r="AE169">
        <v>690000</v>
      </c>
      <c r="AF169">
        <v>540000</v>
      </c>
      <c r="AG169">
        <v>150000</v>
      </c>
      <c r="AH169" t="b">
        <v>1</v>
      </c>
      <c r="AI169" t="b">
        <v>0</v>
      </c>
      <c r="AL169" t="b">
        <v>1</v>
      </c>
      <c r="AM169" t="b">
        <v>0</v>
      </c>
      <c r="AN169">
        <v>690000</v>
      </c>
      <c r="AO169">
        <v>150000</v>
      </c>
      <c r="AP169">
        <v>3</v>
      </c>
      <c r="AQ169">
        <v>9</v>
      </c>
      <c r="AR169">
        <v>0</v>
      </c>
      <c r="AS169">
        <v>0</v>
      </c>
      <c r="AT169">
        <v>0</v>
      </c>
      <c r="AU169">
        <v>150000</v>
      </c>
    </row>
    <row r="170" spans="1:47" x14ac:dyDescent="0.3">
      <c r="A170" s="1">
        <v>46025</v>
      </c>
      <c r="B170" t="s">
        <v>412</v>
      </c>
      <c r="C170">
        <v>4</v>
      </c>
      <c r="D170" t="s">
        <v>300</v>
      </c>
      <c r="E170" t="s">
        <v>220</v>
      </c>
      <c r="F170" t="s">
        <v>66</v>
      </c>
      <c r="G170">
        <v>32</v>
      </c>
      <c r="H170">
        <v>29</v>
      </c>
      <c r="I170">
        <v>234000</v>
      </c>
      <c r="J170">
        <v>0.05</v>
      </c>
      <c r="K170" t="s">
        <v>51</v>
      </c>
      <c r="L170" s="1">
        <v>46026</v>
      </c>
      <c r="M170" s="1">
        <v>46025</v>
      </c>
      <c r="N170" t="s">
        <v>52</v>
      </c>
      <c r="P170">
        <v>168</v>
      </c>
      <c r="Q170" t="s">
        <v>301</v>
      </c>
      <c r="R170" t="s">
        <v>83</v>
      </c>
      <c r="S170" t="s">
        <v>123</v>
      </c>
      <c r="T170" t="s">
        <v>56</v>
      </c>
      <c r="U170" t="s">
        <v>221</v>
      </c>
      <c r="V170" t="s">
        <v>58</v>
      </c>
      <c r="W170" t="s">
        <v>59</v>
      </c>
      <c r="X170">
        <v>180000</v>
      </c>
      <c r="Y170">
        <v>234000</v>
      </c>
      <c r="Z170" t="s">
        <v>56</v>
      </c>
      <c r="AA170" t="s">
        <v>60</v>
      </c>
      <c r="AB170" t="s">
        <v>74</v>
      </c>
      <c r="AC170" t="s">
        <v>75</v>
      </c>
      <c r="AD170" t="s">
        <v>94</v>
      </c>
      <c r="AE170">
        <v>6446700</v>
      </c>
      <c r="AF170">
        <v>5220000</v>
      </c>
      <c r="AG170">
        <v>1226700</v>
      </c>
      <c r="AH170" t="b">
        <v>1</v>
      </c>
      <c r="AI170" t="b">
        <v>1</v>
      </c>
      <c r="AJ170">
        <v>1</v>
      </c>
      <c r="AK170">
        <v>-1</v>
      </c>
      <c r="AL170" t="b">
        <v>1</v>
      </c>
      <c r="AM170" t="b">
        <v>0</v>
      </c>
      <c r="AN170">
        <v>6446700</v>
      </c>
      <c r="AO170">
        <v>1226700</v>
      </c>
      <c r="AP170">
        <v>29</v>
      </c>
      <c r="AQ170">
        <v>32</v>
      </c>
      <c r="AR170">
        <v>1</v>
      </c>
      <c r="AS170">
        <v>1</v>
      </c>
      <c r="AT170">
        <v>0</v>
      </c>
      <c r="AU170">
        <v>1226700</v>
      </c>
    </row>
    <row r="171" spans="1:47" x14ac:dyDescent="0.3">
      <c r="A171" s="1">
        <v>46160</v>
      </c>
      <c r="B171" t="s">
        <v>413</v>
      </c>
      <c r="C171">
        <v>1</v>
      </c>
      <c r="D171" t="s">
        <v>254</v>
      </c>
      <c r="E171" t="s">
        <v>126</v>
      </c>
      <c r="F171" t="s">
        <v>80</v>
      </c>
      <c r="G171">
        <v>7</v>
      </c>
      <c r="H171">
        <v>0</v>
      </c>
      <c r="I171">
        <v>845000</v>
      </c>
      <c r="J171">
        <v>0.08</v>
      </c>
      <c r="K171" t="s">
        <v>127</v>
      </c>
      <c r="L171" s="1">
        <v>46162</v>
      </c>
      <c r="N171" t="s">
        <v>81</v>
      </c>
      <c r="P171">
        <v>169</v>
      </c>
      <c r="Q171" t="s">
        <v>256</v>
      </c>
      <c r="R171" t="s">
        <v>83</v>
      </c>
      <c r="S171" t="s">
        <v>69</v>
      </c>
      <c r="T171" t="s">
        <v>56</v>
      </c>
      <c r="U171" t="s">
        <v>128</v>
      </c>
      <c r="V171" t="s">
        <v>58</v>
      </c>
      <c r="W171" t="s">
        <v>59</v>
      </c>
      <c r="X171">
        <v>650000</v>
      </c>
      <c r="Y171">
        <v>845000</v>
      </c>
      <c r="Z171" t="s">
        <v>56</v>
      </c>
      <c r="AA171" t="s">
        <v>129</v>
      </c>
      <c r="AB171" t="s">
        <v>88</v>
      </c>
      <c r="AC171" t="s">
        <v>83</v>
      </c>
      <c r="AD171" t="s">
        <v>76</v>
      </c>
      <c r="AE171">
        <v>0</v>
      </c>
      <c r="AG171">
        <v>0</v>
      </c>
      <c r="AH171" t="b">
        <v>1</v>
      </c>
      <c r="AI171" t="b">
        <v>0</v>
      </c>
      <c r="AL171" t="b">
        <v>0</v>
      </c>
      <c r="AM171" t="b">
        <v>0</v>
      </c>
      <c r="AN171">
        <v>0</v>
      </c>
      <c r="AO171">
        <v>0</v>
      </c>
      <c r="AP171">
        <v>0</v>
      </c>
      <c r="AQ171">
        <v>0</v>
      </c>
      <c r="AR171">
        <v>0</v>
      </c>
      <c r="AS171">
        <v>0</v>
      </c>
      <c r="AT171">
        <v>0</v>
      </c>
      <c r="AU171">
        <v>0</v>
      </c>
    </row>
    <row r="172" spans="1:47" x14ac:dyDescent="0.3">
      <c r="A172" s="1">
        <v>46072</v>
      </c>
      <c r="B172" t="s">
        <v>414</v>
      </c>
      <c r="C172">
        <v>3</v>
      </c>
      <c r="D172" t="s">
        <v>188</v>
      </c>
      <c r="E172" t="s">
        <v>113</v>
      </c>
      <c r="F172" t="s">
        <v>66</v>
      </c>
      <c r="G172">
        <v>6</v>
      </c>
      <c r="H172">
        <v>6</v>
      </c>
      <c r="I172">
        <v>648000</v>
      </c>
      <c r="J172">
        <v>0.08</v>
      </c>
      <c r="K172" t="s">
        <v>51</v>
      </c>
      <c r="L172" s="1">
        <v>46074</v>
      </c>
      <c r="M172" s="1">
        <v>46077</v>
      </c>
      <c r="N172" t="s">
        <v>81</v>
      </c>
      <c r="P172">
        <v>170</v>
      </c>
      <c r="Q172" t="s">
        <v>190</v>
      </c>
      <c r="R172" t="s">
        <v>83</v>
      </c>
      <c r="S172" t="s">
        <v>123</v>
      </c>
      <c r="T172" t="s">
        <v>56</v>
      </c>
      <c r="U172" t="s">
        <v>116</v>
      </c>
      <c r="V172" t="s">
        <v>71</v>
      </c>
      <c r="W172" t="s">
        <v>72</v>
      </c>
      <c r="X172">
        <v>480000</v>
      </c>
      <c r="Y172">
        <v>648000</v>
      </c>
      <c r="Z172" t="s">
        <v>56</v>
      </c>
      <c r="AA172" t="s">
        <v>60</v>
      </c>
      <c r="AB172" t="s">
        <v>74</v>
      </c>
      <c r="AC172" t="s">
        <v>75</v>
      </c>
      <c r="AD172" t="s">
        <v>158</v>
      </c>
      <c r="AE172">
        <v>3576960</v>
      </c>
      <c r="AF172">
        <v>2880000</v>
      </c>
      <c r="AG172">
        <v>696960</v>
      </c>
      <c r="AH172" t="b">
        <v>1</v>
      </c>
      <c r="AI172" t="b">
        <v>1</v>
      </c>
      <c r="AJ172">
        <v>0</v>
      </c>
      <c r="AK172">
        <v>3</v>
      </c>
      <c r="AL172" t="b">
        <v>1</v>
      </c>
      <c r="AM172" t="b">
        <v>0</v>
      </c>
      <c r="AN172">
        <v>3576960</v>
      </c>
      <c r="AO172">
        <v>696960</v>
      </c>
      <c r="AP172">
        <v>6</v>
      </c>
      <c r="AQ172">
        <v>6</v>
      </c>
      <c r="AR172">
        <v>0</v>
      </c>
      <c r="AS172">
        <v>1</v>
      </c>
      <c r="AT172">
        <v>0</v>
      </c>
      <c r="AU172">
        <v>696960</v>
      </c>
    </row>
    <row r="173" spans="1:47" x14ac:dyDescent="0.3">
      <c r="A173" s="1">
        <v>46099</v>
      </c>
      <c r="B173" t="s">
        <v>415</v>
      </c>
      <c r="C173">
        <v>1</v>
      </c>
      <c r="D173" t="s">
        <v>200</v>
      </c>
      <c r="E173" t="s">
        <v>259</v>
      </c>
      <c r="F173" t="s">
        <v>66</v>
      </c>
      <c r="G173">
        <v>25</v>
      </c>
      <c r="H173">
        <v>24</v>
      </c>
      <c r="I173">
        <v>146000</v>
      </c>
      <c r="J173">
        <v>0</v>
      </c>
      <c r="K173" t="s">
        <v>51</v>
      </c>
      <c r="L173" s="1">
        <v>46109</v>
      </c>
      <c r="M173" s="1">
        <v>46109</v>
      </c>
      <c r="N173" t="s">
        <v>106</v>
      </c>
      <c r="P173">
        <v>171</v>
      </c>
      <c r="Q173" t="s">
        <v>201</v>
      </c>
      <c r="R173" t="s">
        <v>75</v>
      </c>
      <c r="S173" t="s">
        <v>55</v>
      </c>
      <c r="T173" t="s">
        <v>56</v>
      </c>
      <c r="U173" t="s">
        <v>260</v>
      </c>
      <c r="V173" t="s">
        <v>101</v>
      </c>
      <c r="W173" t="s">
        <v>102</v>
      </c>
      <c r="X173">
        <v>120000</v>
      </c>
      <c r="Y173">
        <v>146000</v>
      </c>
      <c r="Z173" t="s">
        <v>56</v>
      </c>
      <c r="AA173" t="s">
        <v>129</v>
      </c>
      <c r="AB173" t="s">
        <v>74</v>
      </c>
      <c r="AC173" t="s">
        <v>75</v>
      </c>
      <c r="AD173" t="s">
        <v>62</v>
      </c>
      <c r="AE173">
        <v>3504000</v>
      </c>
      <c r="AF173">
        <v>2880000</v>
      </c>
      <c r="AG173">
        <v>624000</v>
      </c>
      <c r="AH173" t="b">
        <v>1</v>
      </c>
      <c r="AI173" t="b">
        <v>1</v>
      </c>
      <c r="AJ173">
        <v>1</v>
      </c>
      <c r="AK173">
        <v>0</v>
      </c>
      <c r="AL173" t="b">
        <v>1</v>
      </c>
      <c r="AM173" t="b">
        <v>0</v>
      </c>
      <c r="AN173">
        <v>3504000</v>
      </c>
      <c r="AO173">
        <v>624000</v>
      </c>
      <c r="AP173">
        <v>24</v>
      </c>
      <c r="AQ173">
        <v>25</v>
      </c>
      <c r="AR173">
        <v>1</v>
      </c>
      <c r="AS173">
        <v>1</v>
      </c>
      <c r="AT173">
        <v>0</v>
      </c>
      <c r="AU173">
        <v>624000</v>
      </c>
    </row>
    <row r="174" spans="1:47" x14ac:dyDescent="0.3">
      <c r="A174" s="1">
        <v>46150</v>
      </c>
      <c r="B174" t="s">
        <v>416</v>
      </c>
      <c r="C174">
        <v>3</v>
      </c>
      <c r="D174" t="s">
        <v>185</v>
      </c>
      <c r="E174" t="s">
        <v>236</v>
      </c>
      <c r="F174" t="s">
        <v>114</v>
      </c>
      <c r="G174">
        <v>15</v>
      </c>
      <c r="H174">
        <v>12</v>
      </c>
      <c r="I174">
        <v>448000</v>
      </c>
      <c r="J174">
        <v>0.05</v>
      </c>
      <c r="K174" t="s">
        <v>51</v>
      </c>
      <c r="L174" s="1">
        <v>46153</v>
      </c>
      <c r="M174" s="1">
        <v>46152</v>
      </c>
      <c r="N174" t="s">
        <v>106</v>
      </c>
      <c r="P174">
        <v>172</v>
      </c>
      <c r="Q174" t="s">
        <v>186</v>
      </c>
      <c r="R174" t="s">
        <v>54</v>
      </c>
      <c r="S174" t="s">
        <v>55</v>
      </c>
      <c r="T174" t="s">
        <v>56</v>
      </c>
      <c r="U174" t="s">
        <v>237</v>
      </c>
      <c r="V174" t="s">
        <v>138</v>
      </c>
      <c r="W174" t="s">
        <v>139</v>
      </c>
      <c r="X174">
        <v>350000</v>
      </c>
      <c r="Y174">
        <v>448000</v>
      </c>
      <c r="Z174" t="s">
        <v>134</v>
      </c>
      <c r="AA174" t="s">
        <v>73</v>
      </c>
      <c r="AB174" t="s">
        <v>117</v>
      </c>
      <c r="AC174" t="s">
        <v>83</v>
      </c>
      <c r="AD174" t="s">
        <v>76</v>
      </c>
      <c r="AE174">
        <v>5107200</v>
      </c>
      <c r="AF174">
        <v>4200000</v>
      </c>
      <c r="AG174">
        <v>907200</v>
      </c>
      <c r="AH174" t="b">
        <v>1</v>
      </c>
      <c r="AI174" t="b">
        <v>1</v>
      </c>
      <c r="AJ174">
        <v>1</v>
      </c>
      <c r="AK174">
        <v>-1</v>
      </c>
      <c r="AL174" t="b">
        <v>1</v>
      </c>
      <c r="AM174" t="b">
        <v>0</v>
      </c>
      <c r="AN174">
        <v>5107200</v>
      </c>
      <c r="AO174">
        <v>907200</v>
      </c>
      <c r="AP174">
        <v>12</v>
      </c>
      <c r="AQ174">
        <v>15</v>
      </c>
      <c r="AR174">
        <v>1</v>
      </c>
      <c r="AS174">
        <v>1</v>
      </c>
      <c r="AT174">
        <v>0</v>
      </c>
      <c r="AU174">
        <v>907200</v>
      </c>
    </row>
    <row r="175" spans="1:47" x14ac:dyDescent="0.3">
      <c r="A175" s="1">
        <v>46198</v>
      </c>
      <c r="B175" t="s">
        <v>417</v>
      </c>
      <c r="C175">
        <v>1</v>
      </c>
      <c r="D175" t="s">
        <v>269</v>
      </c>
      <c r="E175" t="s">
        <v>132</v>
      </c>
      <c r="F175" t="s">
        <v>114</v>
      </c>
      <c r="G175">
        <v>14</v>
      </c>
      <c r="H175">
        <v>14</v>
      </c>
      <c r="I175">
        <v>413000</v>
      </c>
      <c r="J175">
        <v>0</v>
      </c>
      <c r="K175" t="s">
        <v>51</v>
      </c>
      <c r="L175" s="1">
        <v>46201</v>
      </c>
      <c r="M175" s="1">
        <v>46201</v>
      </c>
      <c r="N175" t="s">
        <v>81</v>
      </c>
      <c r="P175">
        <v>173</v>
      </c>
      <c r="Q175" t="s">
        <v>270</v>
      </c>
      <c r="R175" t="s">
        <v>83</v>
      </c>
      <c r="S175" t="s">
        <v>55</v>
      </c>
      <c r="T175" t="s">
        <v>56</v>
      </c>
      <c r="U175" t="s">
        <v>133</v>
      </c>
      <c r="V175" t="s">
        <v>109</v>
      </c>
      <c r="W175" t="s">
        <v>110</v>
      </c>
      <c r="X175">
        <v>350000</v>
      </c>
      <c r="Y175">
        <v>413000</v>
      </c>
      <c r="Z175" t="s">
        <v>134</v>
      </c>
      <c r="AA175" t="s">
        <v>73</v>
      </c>
      <c r="AB175" t="s">
        <v>117</v>
      </c>
      <c r="AC175" t="s">
        <v>83</v>
      </c>
      <c r="AD175" t="s">
        <v>118</v>
      </c>
      <c r="AE175">
        <v>5782000</v>
      </c>
      <c r="AF175">
        <v>4900000</v>
      </c>
      <c r="AG175">
        <v>882000</v>
      </c>
      <c r="AH175" t="b">
        <v>1</v>
      </c>
      <c r="AI175" t="b">
        <v>1</v>
      </c>
      <c r="AJ175">
        <v>1</v>
      </c>
      <c r="AK175">
        <v>0</v>
      </c>
      <c r="AL175" t="b">
        <v>1</v>
      </c>
      <c r="AM175" t="b">
        <v>0</v>
      </c>
      <c r="AN175">
        <v>5782000</v>
      </c>
      <c r="AO175">
        <v>882000</v>
      </c>
      <c r="AP175">
        <v>14</v>
      </c>
      <c r="AQ175">
        <v>14</v>
      </c>
      <c r="AR175">
        <v>1</v>
      </c>
      <c r="AS175">
        <v>1</v>
      </c>
      <c r="AT175">
        <v>0</v>
      </c>
      <c r="AU175">
        <v>882000</v>
      </c>
    </row>
    <row r="176" spans="1:47" x14ac:dyDescent="0.3">
      <c r="A176" s="1">
        <v>46168</v>
      </c>
      <c r="B176" t="s">
        <v>418</v>
      </c>
      <c r="C176">
        <v>3</v>
      </c>
      <c r="D176" t="s">
        <v>104</v>
      </c>
      <c r="E176" t="s">
        <v>348</v>
      </c>
      <c r="F176" t="s">
        <v>114</v>
      </c>
      <c r="G176">
        <v>33</v>
      </c>
      <c r="H176">
        <v>22</v>
      </c>
      <c r="I176">
        <v>566000</v>
      </c>
      <c r="J176">
        <v>0</v>
      </c>
      <c r="K176" t="s">
        <v>98</v>
      </c>
      <c r="L176" s="1">
        <v>46169</v>
      </c>
      <c r="N176" t="s">
        <v>67</v>
      </c>
      <c r="P176">
        <v>174</v>
      </c>
      <c r="Q176" t="s">
        <v>107</v>
      </c>
      <c r="R176" t="s">
        <v>83</v>
      </c>
      <c r="S176" t="s">
        <v>55</v>
      </c>
      <c r="T176" t="s">
        <v>56</v>
      </c>
      <c r="U176" t="s">
        <v>349</v>
      </c>
      <c r="V176" t="s">
        <v>109</v>
      </c>
      <c r="W176" t="s">
        <v>110</v>
      </c>
      <c r="X176">
        <v>480000</v>
      </c>
      <c r="Y176">
        <v>566000</v>
      </c>
      <c r="Z176" t="s">
        <v>56</v>
      </c>
      <c r="AA176" t="s">
        <v>60</v>
      </c>
      <c r="AB176" t="s">
        <v>117</v>
      </c>
      <c r="AC176" t="s">
        <v>83</v>
      </c>
      <c r="AD176" t="s">
        <v>76</v>
      </c>
      <c r="AE176">
        <v>12452000</v>
      </c>
      <c r="AF176">
        <v>10560000</v>
      </c>
      <c r="AG176">
        <v>1892000</v>
      </c>
      <c r="AH176" t="b">
        <v>1</v>
      </c>
      <c r="AI176" t="b">
        <v>0</v>
      </c>
      <c r="AL176" t="b">
        <v>1</v>
      </c>
      <c r="AM176" t="b">
        <v>0</v>
      </c>
      <c r="AN176">
        <v>12452000</v>
      </c>
      <c r="AO176">
        <v>1892000</v>
      </c>
      <c r="AP176">
        <v>22</v>
      </c>
      <c r="AQ176">
        <v>33</v>
      </c>
      <c r="AR176">
        <v>0</v>
      </c>
      <c r="AS176">
        <v>0</v>
      </c>
      <c r="AT176">
        <v>0</v>
      </c>
      <c r="AU176">
        <v>1892000</v>
      </c>
    </row>
    <row r="177" spans="1:47" x14ac:dyDescent="0.3">
      <c r="A177" s="1">
        <v>46082</v>
      </c>
      <c r="B177" t="s">
        <v>419</v>
      </c>
      <c r="C177">
        <v>3</v>
      </c>
      <c r="D177" t="s">
        <v>307</v>
      </c>
      <c r="E177" t="s">
        <v>259</v>
      </c>
      <c r="F177" t="s">
        <v>50</v>
      </c>
      <c r="G177">
        <v>2</v>
      </c>
      <c r="H177">
        <v>2</v>
      </c>
      <c r="I177">
        <v>146000</v>
      </c>
      <c r="J177">
        <v>0</v>
      </c>
      <c r="K177" t="s">
        <v>51</v>
      </c>
      <c r="L177" s="1">
        <v>46085</v>
      </c>
      <c r="M177" s="1">
        <v>46087</v>
      </c>
      <c r="N177" t="s">
        <v>67</v>
      </c>
      <c r="P177">
        <v>175</v>
      </c>
      <c r="Q177" t="s">
        <v>308</v>
      </c>
      <c r="R177" t="s">
        <v>75</v>
      </c>
      <c r="S177" t="s">
        <v>123</v>
      </c>
      <c r="T177" t="s">
        <v>56</v>
      </c>
      <c r="U177" t="s">
        <v>260</v>
      </c>
      <c r="V177" t="s">
        <v>101</v>
      </c>
      <c r="W177" t="s">
        <v>102</v>
      </c>
      <c r="X177">
        <v>120000</v>
      </c>
      <c r="Y177">
        <v>146000</v>
      </c>
      <c r="Z177" t="s">
        <v>56</v>
      </c>
      <c r="AA177" t="s">
        <v>129</v>
      </c>
      <c r="AB177" t="s">
        <v>61</v>
      </c>
      <c r="AC177" t="s">
        <v>54</v>
      </c>
      <c r="AD177" t="s">
        <v>62</v>
      </c>
      <c r="AE177">
        <v>292000</v>
      </c>
      <c r="AF177">
        <v>240000</v>
      </c>
      <c r="AG177">
        <v>52000</v>
      </c>
      <c r="AH177" t="b">
        <v>1</v>
      </c>
      <c r="AI177" t="b">
        <v>1</v>
      </c>
      <c r="AJ177">
        <v>0</v>
      </c>
      <c r="AK177">
        <v>2</v>
      </c>
      <c r="AL177" t="b">
        <v>1</v>
      </c>
      <c r="AM177" t="b">
        <v>0</v>
      </c>
      <c r="AN177">
        <v>292000</v>
      </c>
      <c r="AO177">
        <v>52000</v>
      </c>
      <c r="AP177">
        <v>2</v>
      </c>
      <c r="AQ177">
        <v>2</v>
      </c>
      <c r="AR177">
        <v>0</v>
      </c>
      <c r="AS177">
        <v>1</v>
      </c>
      <c r="AT177">
        <v>0</v>
      </c>
      <c r="AU177">
        <v>52000</v>
      </c>
    </row>
    <row r="178" spans="1:47" x14ac:dyDescent="0.3">
      <c r="A178" s="1">
        <v>46133</v>
      </c>
      <c r="B178" t="s">
        <v>420</v>
      </c>
      <c r="C178">
        <v>4</v>
      </c>
      <c r="D178" t="s">
        <v>200</v>
      </c>
      <c r="E178" t="s">
        <v>246</v>
      </c>
      <c r="F178" t="s">
        <v>80</v>
      </c>
      <c r="G178">
        <v>5</v>
      </c>
      <c r="H178">
        <v>5</v>
      </c>
      <c r="I178">
        <v>1152000</v>
      </c>
      <c r="J178">
        <v>0.1</v>
      </c>
      <c r="K178" t="s">
        <v>51</v>
      </c>
      <c r="L178" s="1">
        <v>46143</v>
      </c>
      <c r="M178" s="1">
        <v>46143</v>
      </c>
      <c r="N178" t="s">
        <v>67</v>
      </c>
      <c r="P178">
        <v>176</v>
      </c>
      <c r="Q178" t="s">
        <v>201</v>
      </c>
      <c r="R178" t="s">
        <v>75</v>
      </c>
      <c r="S178" t="s">
        <v>55</v>
      </c>
      <c r="T178" t="s">
        <v>56</v>
      </c>
      <c r="U178" t="s">
        <v>248</v>
      </c>
      <c r="V178" t="s">
        <v>138</v>
      </c>
      <c r="W178" t="s">
        <v>139</v>
      </c>
      <c r="X178">
        <v>900000</v>
      </c>
      <c r="Y178">
        <v>1152000</v>
      </c>
      <c r="Z178" t="s">
        <v>56</v>
      </c>
      <c r="AA178" t="s">
        <v>73</v>
      </c>
      <c r="AB178" t="s">
        <v>88</v>
      </c>
      <c r="AC178" t="s">
        <v>83</v>
      </c>
      <c r="AD178" t="s">
        <v>130</v>
      </c>
      <c r="AE178">
        <v>5184000</v>
      </c>
      <c r="AF178">
        <v>4500000</v>
      </c>
      <c r="AG178">
        <v>684000</v>
      </c>
      <c r="AH178" t="b">
        <v>1</v>
      </c>
      <c r="AI178" t="b">
        <v>1</v>
      </c>
      <c r="AJ178">
        <v>1</v>
      </c>
      <c r="AK178">
        <v>0</v>
      </c>
      <c r="AL178" t="b">
        <v>1</v>
      </c>
      <c r="AM178" t="b">
        <v>0</v>
      </c>
      <c r="AN178">
        <v>5184000</v>
      </c>
      <c r="AO178">
        <v>684000</v>
      </c>
      <c r="AP178">
        <v>5</v>
      </c>
      <c r="AQ178">
        <v>5</v>
      </c>
      <c r="AR178">
        <v>1</v>
      </c>
      <c r="AS178">
        <v>1</v>
      </c>
      <c r="AT178">
        <v>0</v>
      </c>
      <c r="AU178">
        <v>684000</v>
      </c>
    </row>
    <row r="179" spans="1:47" x14ac:dyDescent="0.3">
      <c r="A179" s="1">
        <v>46104</v>
      </c>
      <c r="B179" t="s">
        <v>394</v>
      </c>
      <c r="C179">
        <v>1</v>
      </c>
      <c r="D179" t="s">
        <v>200</v>
      </c>
      <c r="E179" t="s">
        <v>282</v>
      </c>
      <c r="F179" t="s">
        <v>50</v>
      </c>
      <c r="G179">
        <v>29</v>
      </c>
      <c r="H179">
        <v>29</v>
      </c>
      <c r="I179">
        <v>230000</v>
      </c>
      <c r="J179">
        <v>0</v>
      </c>
      <c r="K179" t="s">
        <v>51</v>
      </c>
      <c r="L179" s="1">
        <v>46105</v>
      </c>
      <c r="M179" s="1">
        <v>46105</v>
      </c>
      <c r="N179" t="s">
        <v>67</v>
      </c>
      <c r="P179">
        <v>177</v>
      </c>
      <c r="Q179" t="s">
        <v>201</v>
      </c>
      <c r="R179" t="s">
        <v>75</v>
      </c>
      <c r="S179" t="s">
        <v>55</v>
      </c>
      <c r="T179" t="s">
        <v>56</v>
      </c>
      <c r="U179" t="s">
        <v>283</v>
      </c>
      <c r="V179" t="s">
        <v>138</v>
      </c>
      <c r="W179" t="s">
        <v>139</v>
      </c>
      <c r="X179">
        <v>180000</v>
      </c>
      <c r="Y179">
        <v>230000</v>
      </c>
      <c r="Z179" t="s">
        <v>56</v>
      </c>
      <c r="AA179" t="s">
        <v>129</v>
      </c>
      <c r="AB179" t="s">
        <v>61</v>
      </c>
      <c r="AC179" t="s">
        <v>54</v>
      </c>
      <c r="AD179" t="s">
        <v>62</v>
      </c>
      <c r="AE179">
        <v>6670000</v>
      </c>
      <c r="AF179">
        <v>5220000</v>
      </c>
      <c r="AG179">
        <v>1450000</v>
      </c>
      <c r="AH179" t="b">
        <v>1</v>
      </c>
      <c r="AI179" t="b">
        <v>1</v>
      </c>
      <c r="AJ179">
        <v>1</v>
      </c>
      <c r="AK179">
        <v>0</v>
      </c>
      <c r="AL179" t="b">
        <v>1</v>
      </c>
      <c r="AM179" t="b">
        <v>0</v>
      </c>
      <c r="AN179">
        <v>6670000</v>
      </c>
      <c r="AO179">
        <v>1450000</v>
      </c>
      <c r="AP179">
        <v>29</v>
      </c>
      <c r="AQ179">
        <v>29</v>
      </c>
      <c r="AR179">
        <v>1</v>
      </c>
      <c r="AS179">
        <v>1</v>
      </c>
      <c r="AT179">
        <v>0</v>
      </c>
      <c r="AU179">
        <v>1450000</v>
      </c>
    </row>
    <row r="180" spans="1:47" x14ac:dyDescent="0.3">
      <c r="A180" s="1">
        <v>46137</v>
      </c>
      <c r="B180" t="s">
        <v>421</v>
      </c>
      <c r="C180">
        <v>4</v>
      </c>
      <c r="D180" t="s">
        <v>336</v>
      </c>
      <c r="E180" t="s">
        <v>97</v>
      </c>
      <c r="F180" t="s">
        <v>114</v>
      </c>
      <c r="G180">
        <v>23</v>
      </c>
      <c r="H180">
        <v>20</v>
      </c>
      <c r="I180">
        <v>427000</v>
      </c>
      <c r="J180">
        <v>0.02</v>
      </c>
      <c r="K180" t="s">
        <v>51</v>
      </c>
      <c r="L180" s="1">
        <v>46142</v>
      </c>
      <c r="M180" s="1">
        <v>46141</v>
      </c>
      <c r="N180" t="s">
        <v>52</v>
      </c>
      <c r="P180">
        <v>178</v>
      </c>
      <c r="Q180" t="s">
        <v>337</v>
      </c>
      <c r="R180" t="s">
        <v>75</v>
      </c>
      <c r="S180" t="s">
        <v>84</v>
      </c>
      <c r="T180" t="s">
        <v>56</v>
      </c>
      <c r="U180" t="s">
        <v>100</v>
      </c>
      <c r="V180" t="s">
        <v>101</v>
      </c>
      <c r="W180" t="s">
        <v>102</v>
      </c>
      <c r="X180">
        <v>350000</v>
      </c>
      <c r="Y180">
        <v>427000</v>
      </c>
      <c r="Z180" t="s">
        <v>56</v>
      </c>
      <c r="AA180" t="s">
        <v>73</v>
      </c>
      <c r="AB180" t="s">
        <v>117</v>
      </c>
      <c r="AC180" t="s">
        <v>83</v>
      </c>
      <c r="AD180" t="s">
        <v>130</v>
      </c>
      <c r="AE180">
        <v>8369200</v>
      </c>
      <c r="AF180">
        <v>7000000</v>
      </c>
      <c r="AG180">
        <v>1369200</v>
      </c>
      <c r="AH180" t="b">
        <v>1</v>
      </c>
      <c r="AI180" t="b">
        <v>1</v>
      </c>
      <c r="AJ180">
        <v>1</v>
      </c>
      <c r="AK180">
        <v>-1</v>
      </c>
      <c r="AL180" t="b">
        <v>1</v>
      </c>
      <c r="AM180" t="b">
        <v>0</v>
      </c>
      <c r="AN180">
        <v>8369200</v>
      </c>
      <c r="AO180">
        <v>1369200</v>
      </c>
      <c r="AP180">
        <v>20</v>
      </c>
      <c r="AQ180">
        <v>23</v>
      </c>
      <c r="AR180">
        <v>1</v>
      </c>
      <c r="AS180">
        <v>1</v>
      </c>
      <c r="AT180">
        <v>0</v>
      </c>
      <c r="AU180">
        <v>1369200</v>
      </c>
    </row>
    <row r="181" spans="1:47" x14ac:dyDescent="0.3">
      <c r="A181" s="1">
        <v>46128</v>
      </c>
      <c r="B181" t="s">
        <v>422</v>
      </c>
      <c r="C181">
        <v>1</v>
      </c>
      <c r="D181" t="s">
        <v>48</v>
      </c>
      <c r="E181" t="s">
        <v>304</v>
      </c>
      <c r="F181" t="s">
        <v>80</v>
      </c>
      <c r="G181">
        <v>25</v>
      </c>
      <c r="H181">
        <v>25</v>
      </c>
      <c r="I181">
        <v>845000</v>
      </c>
      <c r="J181">
        <v>0.02</v>
      </c>
      <c r="K181" t="s">
        <v>51</v>
      </c>
      <c r="L181" s="1">
        <v>46133</v>
      </c>
      <c r="M181" s="1">
        <v>46133</v>
      </c>
      <c r="N181" t="s">
        <v>106</v>
      </c>
      <c r="O181" t="s">
        <v>305</v>
      </c>
      <c r="P181">
        <v>179</v>
      </c>
      <c r="Q181" t="s">
        <v>53</v>
      </c>
      <c r="R181" t="s">
        <v>54</v>
      </c>
      <c r="S181" t="s">
        <v>55</v>
      </c>
      <c r="T181" t="s">
        <v>56</v>
      </c>
      <c r="W181" t="s">
        <v>267</v>
      </c>
      <c r="AB181" t="s">
        <v>88</v>
      </c>
      <c r="AC181" t="s">
        <v>83</v>
      </c>
      <c r="AD181" t="s">
        <v>130</v>
      </c>
      <c r="AE181">
        <v>20702500</v>
      </c>
      <c r="AG181">
        <v>20702500</v>
      </c>
      <c r="AH181" t="b">
        <v>0</v>
      </c>
      <c r="AI181" t="b">
        <v>1</v>
      </c>
      <c r="AJ181">
        <v>1</v>
      </c>
      <c r="AK181">
        <v>0</v>
      </c>
      <c r="AL181" t="b">
        <v>1</v>
      </c>
      <c r="AM181" t="b">
        <v>0</v>
      </c>
      <c r="AN181">
        <v>0</v>
      </c>
      <c r="AO181">
        <v>0</v>
      </c>
      <c r="AP181">
        <v>25</v>
      </c>
      <c r="AQ181">
        <v>25</v>
      </c>
      <c r="AR181">
        <v>1</v>
      </c>
      <c r="AS181">
        <v>1</v>
      </c>
      <c r="AT181">
        <v>0</v>
      </c>
      <c r="AU181">
        <v>0</v>
      </c>
    </row>
    <row r="182" spans="1:47" x14ac:dyDescent="0.3">
      <c r="A182" s="1">
        <v>46065</v>
      </c>
      <c r="B182" t="s">
        <v>423</v>
      </c>
      <c r="C182">
        <v>3</v>
      </c>
      <c r="D182" t="s">
        <v>96</v>
      </c>
      <c r="E182" t="s">
        <v>378</v>
      </c>
      <c r="F182" t="s">
        <v>66</v>
      </c>
      <c r="G182">
        <v>5</v>
      </c>
      <c r="H182">
        <v>4</v>
      </c>
      <c r="I182">
        <v>793000</v>
      </c>
      <c r="J182">
        <v>0.1</v>
      </c>
      <c r="K182" t="s">
        <v>51</v>
      </c>
      <c r="L182" s="1">
        <v>46070</v>
      </c>
      <c r="M182" s="1">
        <v>46072</v>
      </c>
      <c r="N182" t="s">
        <v>81</v>
      </c>
      <c r="P182">
        <v>180</v>
      </c>
      <c r="Q182" t="s">
        <v>99</v>
      </c>
      <c r="R182" t="s">
        <v>75</v>
      </c>
      <c r="S182" t="s">
        <v>55</v>
      </c>
      <c r="T182" t="s">
        <v>56</v>
      </c>
      <c r="U182" t="s">
        <v>380</v>
      </c>
      <c r="V182" t="s">
        <v>101</v>
      </c>
      <c r="W182" t="s">
        <v>102</v>
      </c>
      <c r="X182">
        <v>650000</v>
      </c>
      <c r="Y182">
        <v>793000</v>
      </c>
      <c r="Z182" t="s">
        <v>56</v>
      </c>
      <c r="AA182" t="s">
        <v>129</v>
      </c>
      <c r="AB182" t="s">
        <v>74</v>
      </c>
      <c r="AC182" t="s">
        <v>75</v>
      </c>
      <c r="AD182" t="s">
        <v>158</v>
      </c>
      <c r="AE182">
        <v>2854800</v>
      </c>
      <c r="AF182">
        <v>2600000</v>
      </c>
      <c r="AG182">
        <v>254800</v>
      </c>
      <c r="AH182" t="b">
        <v>1</v>
      </c>
      <c r="AI182" t="b">
        <v>1</v>
      </c>
      <c r="AJ182">
        <v>0</v>
      </c>
      <c r="AK182">
        <v>2</v>
      </c>
      <c r="AL182" t="b">
        <v>1</v>
      </c>
      <c r="AM182" t="b">
        <v>0</v>
      </c>
      <c r="AN182">
        <v>2854800</v>
      </c>
      <c r="AO182">
        <v>254800</v>
      </c>
      <c r="AP182">
        <v>4</v>
      </c>
      <c r="AQ182">
        <v>5</v>
      </c>
      <c r="AR182">
        <v>0</v>
      </c>
      <c r="AS182">
        <v>1</v>
      </c>
      <c r="AT182">
        <v>0</v>
      </c>
      <c r="AU182">
        <v>254800</v>
      </c>
    </row>
    <row r="183" spans="1:47" x14ac:dyDescent="0.3">
      <c r="A183" s="1">
        <v>46140</v>
      </c>
      <c r="B183" t="s">
        <v>424</v>
      </c>
      <c r="C183">
        <v>2</v>
      </c>
      <c r="D183" t="s">
        <v>330</v>
      </c>
      <c r="E183" t="s">
        <v>282</v>
      </c>
      <c r="F183" t="s">
        <v>66</v>
      </c>
      <c r="G183">
        <v>22</v>
      </c>
      <c r="H183">
        <v>12</v>
      </c>
      <c r="I183">
        <v>230000</v>
      </c>
      <c r="J183">
        <v>0.02</v>
      </c>
      <c r="K183" t="s">
        <v>98</v>
      </c>
      <c r="L183" s="1">
        <v>46145</v>
      </c>
      <c r="N183" t="s">
        <v>52</v>
      </c>
      <c r="P183">
        <v>181</v>
      </c>
      <c r="Q183" t="s">
        <v>331</v>
      </c>
      <c r="R183" t="s">
        <v>83</v>
      </c>
      <c r="S183" t="s">
        <v>55</v>
      </c>
      <c r="T183" t="s">
        <v>56</v>
      </c>
      <c r="U183" t="s">
        <v>283</v>
      </c>
      <c r="V183" t="s">
        <v>138</v>
      </c>
      <c r="W183" t="s">
        <v>139</v>
      </c>
      <c r="X183">
        <v>180000</v>
      </c>
      <c r="Y183">
        <v>230000</v>
      </c>
      <c r="Z183" t="s">
        <v>56</v>
      </c>
      <c r="AA183" t="s">
        <v>129</v>
      </c>
      <c r="AB183" t="s">
        <v>74</v>
      </c>
      <c r="AC183" t="s">
        <v>75</v>
      </c>
      <c r="AD183" t="s">
        <v>130</v>
      </c>
      <c r="AE183">
        <v>2704800</v>
      </c>
      <c r="AF183">
        <v>2160000</v>
      </c>
      <c r="AG183">
        <v>544800</v>
      </c>
      <c r="AH183" t="b">
        <v>1</v>
      </c>
      <c r="AI183" t="b">
        <v>0</v>
      </c>
      <c r="AL183" t="b">
        <v>1</v>
      </c>
      <c r="AM183" t="b">
        <v>0</v>
      </c>
      <c r="AN183">
        <v>2704800</v>
      </c>
      <c r="AO183">
        <v>544800</v>
      </c>
      <c r="AP183">
        <v>12</v>
      </c>
      <c r="AQ183">
        <v>22</v>
      </c>
      <c r="AR183">
        <v>0</v>
      </c>
      <c r="AS183">
        <v>0</v>
      </c>
      <c r="AT183">
        <v>0</v>
      </c>
      <c r="AU183">
        <v>544800</v>
      </c>
    </row>
    <row r="184" spans="1:47" x14ac:dyDescent="0.3">
      <c r="A184" s="1">
        <v>46133</v>
      </c>
      <c r="B184" t="s">
        <v>425</v>
      </c>
      <c r="C184">
        <v>3</v>
      </c>
      <c r="D184" t="s">
        <v>194</v>
      </c>
      <c r="E184" t="s">
        <v>147</v>
      </c>
      <c r="F184" t="s">
        <v>66</v>
      </c>
      <c r="G184">
        <v>21</v>
      </c>
      <c r="H184">
        <v>21</v>
      </c>
      <c r="I184">
        <v>614000</v>
      </c>
      <c r="J184">
        <v>0.02</v>
      </c>
      <c r="K184" t="s">
        <v>51</v>
      </c>
      <c r="L184" s="1">
        <v>46143</v>
      </c>
      <c r="M184" s="1">
        <v>46146</v>
      </c>
      <c r="N184" t="s">
        <v>67</v>
      </c>
      <c r="P184">
        <v>182</v>
      </c>
      <c r="Q184" t="s">
        <v>195</v>
      </c>
      <c r="R184" t="s">
        <v>54</v>
      </c>
      <c r="S184" t="s">
        <v>123</v>
      </c>
      <c r="T184" t="s">
        <v>56</v>
      </c>
      <c r="U184" t="s">
        <v>149</v>
      </c>
      <c r="V184" t="s">
        <v>138</v>
      </c>
      <c r="W184" t="s">
        <v>139</v>
      </c>
      <c r="X184">
        <v>480000</v>
      </c>
      <c r="Y184">
        <v>614000</v>
      </c>
      <c r="Z184" t="s">
        <v>56</v>
      </c>
      <c r="AA184" t="s">
        <v>129</v>
      </c>
      <c r="AB184" t="s">
        <v>74</v>
      </c>
      <c r="AC184" t="s">
        <v>75</v>
      </c>
      <c r="AD184" t="s">
        <v>130</v>
      </c>
      <c r="AE184">
        <v>12636120</v>
      </c>
      <c r="AF184">
        <v>10080000</v>
      </c>
      <c r="AG184">
        <v>2556120</v>
      </c>
      <c r="AH184" t="b">
        <v>1</v>
      </c>
      <c r="AI184" t="b">
        <v>1</v>
      </c>
      <c r="AJ184">
        <v>0</v>
      </c>
      <c r="AK184">
        <v>3</v>
      </c>
      <c r="AL184" t="b">
        <v>1</v>
      </c>
      <c r="AM184" t="b">
        <v>0</v>
      </c>
      <c r="AN184">
        <v>12636120</v>
      </c>
      <c r="AO184">
        <v>2556120</v>
      </c>
      <c r="AP184">
        <v>21</v>
      </c>
      <c r="AQ184">
        <v>21</v>
      </c>
      <c r="AR184">
        <v>0</v>
      </c>
      <c r="AS184">
        <v>1</v>
      </c>
      <c r="AT184">
        <v>0</v>
      </c>
      <c r="AU184">
        <v>2556120</v>
      </c>
    </row>
    <row r="185" spans="1:47" x14ac:dyDescent="0.3">
      <c r="A185" s="1">
        <v>46170</v>
      </c>
      <c r="B185" t="s">
        <v>408</v>
      </c>
      <c r="C185">
        <v>3</v>
      </c>
      <c r="D185" t="s">
        <v>104</v>
      </c>
      <c r="E185" t="s">
        <v>113</v>
      </c>
      <c r="F185" t="s">
        <v>66</v>
      </c>
      <c r="G185">
        <v>24</v>
      </c>
      <c r="H185">
        <v>24</v>
      </c>
      <c r="I185">
        <v>648000</v>
      </c>
      <c r="J185">
        <v>0.08</v>
      </c>
      <c r="K185" t="s">
        <v>51</v>
      </c>
      <c r="L185" s="1">
        <v>46177</v>
      </c>
      <c r="M185" s="1">
        <v>46177</v>
      </c>
      <c r="N185" t="s">
        <v>106</v>
      </c>
      <c r="P185">
        <v>183</v>
      </c>
      <c r="Q185" t="s">
        <v>107</v>
      </c>
      <c r="R185" t="s">
        <v>83</v>
      </c>
      <c r="S185" t="s">
        <v>55</v>
      </c>
      <c r="T185" t="s">
        <v>56</v>
      </c>
      <c r="U185" t="s">
        <v>116</v>
      </c>
      <c r="V185" t="s">
        <v>71</v>
      </c>
      <c r="W185" t="s">
        <v>72</v>
      </c>
      <c r="X185">
        <v>480000</v>
      </c>
      <c r="Y185">
        <v>648000</v>
      </c>
      <c r="Z185" t="s">
        <v>56</v>
      </c>
      <c r="AA185" t="s">
        <v>60</v>
      </c>
      <c r="AB185" t="s">
        <v>74</v>
      </c>
      <c r="AC185" t="s">
        <v>75</v>
      </c>
      <c r="AD185" t="s">
        <v>76</v>
      </c>
      <c r="AE185">
        <v>14307840</v>
      </c>
      <c r="AF185">
        <v>11520000</v>
      </c>
      <c r="AG185">
        <v>2787840</v>
      </c>
      <c r="AH185" t="b">
        <v>1</v>
      </c>
      <c r="AI185" t="b">
        <v>1</v>
      </c>
      <c r="AJ185">
        <v>1</v>
      </c>
      <c r="AK185">
        <v>0</v>
      </c>
      <c r="AL185" t="b">
        <v>1</v>
      </c>
      <c r="AM185" t="b">
        <v>0</v>
      </c>
      <c r="AN185">
        <v>14307840</v>
      </c>
      <c r="AO185">
        <v>2787840</v>
      </c>
      <c r="AP185">
        <v>24</v>
      </c>
      <c r="AQ185">
        <v>24</v>
      </c>
      <c r="AR185">
        <v>1</v>
      </c>
      <c r="AS185">
        <v>1</v>
      </c>
      <c r="AT185">
        <v>0</v>
      </c>
      <c r="AU185">
        <v>2787840</v>
      </c>
    </row>
    <row r="186" spans="1:47" x14ac:dyDescent="0.3">
      <c r="A186" s="1">
        <v>46141</v>
      </c>
      <c r="B186" t="s">
        <v>426</v>
      </c>
      <c r="C186">
        <v>4</v>
      </c>
      <c r="D186" t="s">
        <v>163</v>
      </c>
      <c r="E186" t="s">
        <v>79</v>
      </c>
      <c r="F186" t="s">
        <v>66</v>
      </c>
      <c r="G186">
        <v>32</v>
      </c>
      <c r="H186">
        <v>32</v>
      </c>
      <c r="I186">
        <v>150000</v>
      </c>
      <c r="J186">
        <v>0.02</v>
      </c>
      <c r="K186" t="s">
        <v>51</v>
      </c>
      <c r="L186" s="1">
        <v>46151</v>
      </c>
      <c r="M186" s="1">
        <v>46151</v>
      </c>
      <c r="N186" t="s">
        <v>67</v>
      </c>
      <c r="P186">
        <v>184</v>
      </c>
      <c r="Q186" t="s">
        <v>164</v>
      </c>
      <c r="R186" t="s">
        <v>75</v>
      </c>
      <c r="S186" t="s">
        <v>69</v>
      </c>
      <c r="T186" t="s">
        <v>56</v>
      </c>
      <c r="U186" t="s">
        <v>85</v>
      </c>
      <c r="V186" t="s">
        <v>86</v>
      </c>
      <c r="W186" t="s">
        <v>87</v>
      </c>
      <c r="X186">
        <v>120000</v>
      </c>
      <c r="Y186">
        <v>150000</v>
      </c>
      <c r="Z186" t="s">
        <v>56</v>
      </c>
      <c r="AA186" t="s">
        <v>60</v>
      </c>
      <c r="AB186" t="s">
        <v>74</v>
      </c>
      <c r="AC186" t="s">
        <v>75</v>
      </c>
      <c r="AD186" t="s">
        <v>130</v>
      </c>
      <c r="AE186">
        <v>4704000</v>
      </c>
      <c r="AF186">
        <v>3840000</v>
      </c>
      <c r="AG186">
        <v>864000</v>
      </c>
      <c r="AH186" t="b">
        <v>1</v>
      </c>
      <c r="AI186" t="b">
        <v>1</v>
      </c>
      <c r="AJ186">
        <v>1</v>
      </c>
      <c r="AK186">
        <v>0</v>
      </c>
      <c r="AL186" t="b">
        <v>1</v>
      </c>
      <c r="AM186" t="b">
        <v>0</v>
      </c>
      <c r="AN186">
        <v>4704000</v>
      </c>
      <c r="AO186">
        <v>864000</v>
      </c>
      <c r="AP186">
        <v>32</v>
      </c>
      <c r="AQ186">
        <v>32</v>
      </c>
      <c r="AR186">
        <v>1</v>
      </c>
      <c r="AS186">
        <v>1</v>
      </c>
      <c r="AT186">
        <v>0</v>
      </c>
      <c r="AU186">
        <v>864000</v>
      </c>
    </row>
    <row r="187" spans="1:47" x14ac:dyDescent="0.3">
      <c r="A187" s="1">
        <v>46119</v>
      </c>
      <c r="B187" t="s">
        <v>427</v>
      </c>
      <c r="C187">
        <v>4</v>
      </c>
      <c r="D187" t="s">
        <v>307</v>
      </c>
      <c r="E187" t="s">
        <v>273</v>
      </c>
      <c r="F187" t="s">
        <v>66</v>
      </c>
      <c r="G187">
        <v>35</v>
      </c>
      <c r="H187">
        <v>35</v>
      </c>
      <c r="I187">
        <v>2304000</v>
      </c>
      <c r="J187">
        <v>0.08</v>
      </c>
      <c r="K187" t="s">
        <v>51</v>
      </c>
      <c r="L187" s="1">
        <v>46120</v>
      </c>
      <c r="M187" s="1">
        <v>46127</v>
      </c>
      <c r="N187" t="s">
        <v>52</v>
      </c>
      <c r="P187">
        <v>185</v>
      </c>
      <c r="Q187" t="s">
        <v>308</v>
      </c>
      <c r="R187" t="s">
        <v>75</v>
      </c>
      <c r="S187" t="s">
        <v>123</v>
      </c>
      <c r="T187" t="s">
        <v>56</v>
      </c>
      <c r="U187" t="s">
        <v>274</v>
      </c>
      <c r="V187" t="s">
        <v>138</v>
      </c>
      <c r="W187" t="s">
        <v>139</v>
      </c>
      <c r="X187">
        <v>1800000</v>
      </c>
      <c r="Y187">
        <v>2304000</v>
      </c>
      <c r="Z187" t="s">
        <v>56</v>
      </c>
      <c r="AA187" t="s">
        <v>73</v>
      </c>
      <c r="AB187" t="s">
        <v>74</v>
      </c>
      <c r="AC187" t="s">
        <v>75</v>
      </c>
      <c r="AD187" t="s">
        <v>130</v>
      </c>
      <c r="AE187">
        <v>74188800</v>
      </c>
      <c r="AF187">
        <v>63000000</v>
      </c>
      <c r="AG187">
        <v>11188800</v>
      </c>
      <c r="AH187" t="b">
        <v>1</v>
      </c>
      <c r="AI187" t="b">
        <v>1</v>
      </c>
      <c r="AJ187">
        <v>0</v>
      </c>
      <c r="AK187">
        <v>7</v>
      </c>
      <c r="AL187" t="b">
        <v>1</v>
      </c>
      <c r="AM187" t="b">
        <v>0</v>
      </c>
      <c r="AN187">
        <v>74188800</v>
      </c>
      <c r="AO187">
        <v>11188800</v>
      </c>
      <c r="AP187">
        <v>35</v>
      </c>
      <c r="AQ187">
        <v>35</v>
      </c>
      <c r="AR187">
        <v>0</v>
      </c>
      <c r="AS187">
        <v>1</v>
      </c>
      <c r="AT187">
        <v>0</v>
      </c>
      <c r="AU187">
        <v>11188800</v>
      </c>
    </row>
    <row r="188" spans="1:47" x14ac:dyDescent="0.3">
      <c r="A188" s="1">
        <v>46202</v>
      </c>
      <c r="B188" t="s">
        <v>428</v>
      </c>
      <c r="C188">
        <v>1</v>
      </c>
      <c r="D188" t="s">
        <v>336</v>
      </c>
      <c r="E188" t="s">
        <v>152</v>
      </c>
      <c r="F188" t="s">
        <v>50</v>
      </c>
      <c r="G188">
        <v>11</v>
      </c>
      <c r="H188">
        <v>10</v>
      </c>
      <c r="I188">
        <v>845000</v>
      </c>
      <c r="J188">
        <v>0.1</v>
      </c>
      <c r="K188" t="s">
        <v>51</v>
      </c>
      <c r="L188" s="1">
        <v>46212</v>
      </c>
      <c r="M188" s="1">
        <v>46215</v>
      </c>
      <c r="N188" t="s">
        <v>67</v>
      </c>
      <c r="P188">
        <v>186</v>
      </c>
      <c r="Q188" t="s">
        <v>337</v>
      </c>
      <c r="R188" t="s">
        <v>75</v>
      </c>
      <c r="S188" t="s">
        <v>84</v>
      </c>
      <c r="T188" t="s">
        <v>56</v>
      </c>
      <c r="U188" t="s">
        <v>154</v>
      </c>
      <c r="V188" t="s">
        <v>58</v>
      </c>
      <c r="W188" t="s">
        <v>59</v>
      </c>
      <c r="X188">
        <v>650000</v>
      </c>
      <c r="Y188">
        <v>845000</v>
      </c>
      <c r="Z188" t="s">
        <v>56</v>
      </c>
      <c r="AA188" t="s">
        <v>73</v>
      </c>
      <c r="AB188" t="s">
        <v>61</v>
      </c>
      <c r="AC188" t="s">
        <v>54</v>
      </c>
      <c r="AD188" t="s">
        <v>118</v>
      </c>
      <c r="AE188">
        <v>7605000</v>
      </c>
      <c r="AF188">
        <v>6500000</v>
      </c>
      <c r="AG188">
        <v>1105000</v>
      </c>
      <c r="AH188" t="b">
        <v>1</v>
      </c>
      <c r="AI188" t="b">
        <v>1</v>
      </c>
      <c r="AJ188">
        <v>0</v>
      </c>
      <c r="AK188">
        <v>3</v>
      </c>
      <c r="AL188" t="b">
        <v>1</v>
      </c>
      <c r="AM188" t="b">
        <v>0</v>
      </c>
      <c r="AN188">
        <v>7605000</v>
      </c>
      <c r="AO188">
        <v>1105000</v>
      </c>
      <c r="AP188">
        <v>10</v>
      </c>
      <c r="AQ188">
        <v>11</v>
      </c>
      <c r="AR188">
        <v>0</v>
      </c>
      <c r="AS188">
        <v>1</v>
      </c>
      <c r="AT188">
        <v>0</v>
      </c>
      <c r="AU188">
        <v>1105000</v>
      </c>
    </row>
    <row r="189" spans="1:47" x14ac:dyDescent="0.3">
      <c r="A189" s="1">
        <v>46107</v>
      </c>
      <c r="B189" t="s">
        <v>429</v>
      </c>
      <c r="C189">
        <v>1</v>
      </c>
      <c r="D189" t="s">
        <v>171</v>
      </c>
      <c r="E189" t="s">
        <v>236</v>
      </c>
      <c r="F189" t="s">
        <v>50</v>
      </c>
      <c r="G189">
        <v>15</v>
      </c>
      <c r="H189">
        <v>12</v>
      </c>
      <c r="I189">
        <v>448000</v>
      </c>
      <c r="J189">
        <v>0.08</v>
      </c>
      <c r="K189" t="s">
        <v>51</v>
      </c>
      <c r="L189" s="1">
        <v>46117</v>
      </c>
      <c r="M189" s="1">
        <v>46119</v>
      </c>
      <c r="N189" t="s">
        <v>81</v>
      </c>
      <c r="P189">
        <v>187</v>
      </c>
      <c r="Q189" t="s">
        <v>172</v>
      </c>
      <c r="R189" t="s">
        <v>54</v>
      </c>
      <c r="S189" t="s">
        <v>84</v>
      </c>
      <c r="T189" t="s">
        <v>56</v>
      </c>
      <c r="U189" t="s">
        <v>237</v>
      </c>
      <c r="V189" t="s">
        <v>138</v>
      </c>
      <c r="W189" t="s">
        <v>139</v>
      </c>
      <c r="X189">
        <v>350000</v>
      </c>
      <c r="Y189">
        <v>448000</v>
      </c>
      <c r="Z189" t="s">
        <v>134</v>
      </c>
      <c r="AA189" t="s">
        <v>73</v>
      </c>
      <c r="AB189" t="s">
        <v>61</v>
      </c>
      <c r="AC189" t="s">
        <v>54</v>
      </c>
      <c r="AD189" t="s">
        <v>62</v>
      </c>
      <c r="AE189">
        <v>4945920</v>
      </c>
      <c r="AF189">
        <v>4200000</v>
      </c>
      <c r="AG189">
        <v>745920</v>
      </c>
      <c r="AH189" t="b">
        <v>1</v>
      </c>
      <c r="AI189" t="b">
        <v>1</v>
      </c>
      <c r="AJ189">
        <v>0</v>
      </c>
      <c r="AK189">
        <v>2</v>
      </c>
      <c r="AL189" t="b">
        <v>1</v>
      </c>
      <c r="AM189" t="b">
        <v>0</v>
      </c>
      <c r="AN189">
        <v>4945920</v>
      </c>
      <c r="AO189">
        <v>745920</v>
      </c>
      <c r="AP189">
        <v>12</v>
      </c>
      <c r="AQ189">
        <v>15</v>
      </c>
      <c r="AR189">
        <v>0</v>
      </c>
      <c r="AS189">
        <v>1</v>
      </c>
      <c r="AT189">
        <v>0</v>
      </c>
      <c r="AU189">
        <v>745920</v>
      </c>
    </row>
    <row r="190" spans="1:47" x14ac:dyDescent="0.3">
      <c r="A190" s="1">
        <v>46137</v>
      </c>
      <c r="B190" t="s">
        <v>430</v>
      </c>
      <c r="C190">
        <v>4</v>
      </c>
      <c r="D190" t="s">
        <v>182</v>
      </c>
      <c r="E190" t="s">
        <v>142</v>
      </c>
      <c r="F190" t="s">
        <v>80</v>
      </c>
      <c r="G190">
        <v>-8</v>
      </c>
      <c r="H190">
        <v>-8</v>
      </c>
      <c r="I190">
        <v>413000</v>
      </c>
      <c r="J190">
        <v>0</v>
      </c>
      <c r="K190" t="s">
        <v>216</v>
      </c>
      <c r="L190" s="1">
        <v>46140</v>
      </c>
      <c r="M190" s="1">
        <v>46141</v>
      </c>
      <c r="N190" t="s">
        <v>106</v>
      </c>
      <c r="P190">
        <v>188</v>
      </c>
      <c r="Q190" t="s">
        <v>183</v>
      </c>
      <c r="R190" t="s">
        <v>75</v>
      </c>
      <c r="S190" t="s">
        <v>69</v>
      </c>
      <c r="T190" t="s">
        <v>56</v>
      </c>
      <c r="U190" t="s">
        <v>144</v>
      </c>
      <c r="V190" t="s">
        <v>109</v>
      </c>
      <c r="W190" t="s">
        <v>110</v>
      </c>
      <c r="X190">
        <v>350000</v>
      </c>
      <c r="Y190">
        <v>413000</v>
      </c>
      <c r="Z190" t="s">
        <v>56</v>
      </c>
      <c r="AA190" t="s">
        <v>129</v>
      </c>
      <c r="AB190" t="s">
        <v>88</v>
      </c>
      <c r="AC190" t="s">
        <v>83</v>
      </c>
      <c r="AD190" t="s">
        <v>130</v>
      </c>
      <c r="AE190">
        <v>-3304000</v>
      </c>
      <c r="AF190">
        <v>-2800000</v>
      </c>
      <c r="AG190">
        <v>-504000</v>
      </c>
      <c r="AH190" t="b">
        <v>1</v>
      </c>
      <c r="AI190" t="b">
        <v>1</v>
      </c>
      <c r="AJ190">
        <v>0</v>
      </c>
      <c r="AK190">
        <v>1</v>
      </c>
      <c r="AL190" t="b">
        <v>0</v>
      </c>
      <c r="AM190" t="b">
        <v>1</v>
      </c>
      <c r="AN190">
        <v>-3304000</v>
      </c>
      <c r="AO190">
        <v>-504000</v>
      </c>
      <c r="AP190">
        <v>0</v>
      </c>
      <c r="AQ190">
        <v>0</v>
      </c>
      <c r="AR190">
        <v>0</v>
      </c>
      <c r="AS190">
        <v>1</v>
      </c>
      <c r="AT190">
        <v>-3304000</v>
      </c>
      <c r="AU190">
        <v>-504000</v>
      </c>
    </row>
    <row r="191" spans="1:47" x14ac:dyDescent="0.3">
      <c r="A191" s="1">
        <v>46052</v>
      </c>
      <c r="B191" t="s">
        <v>431</v>
      </c>
      <c r="C191">
        <v>3</v>
      </c>
      <c r="D191" t="s">
        <v>330</v>
      </c>
      <c r="E191" t="s">
        <v>255</v>
      </c>
      <c r="F191" t="s">
        <v>66</v>
      </c>
      <c r="G191">
        <v>14</v>
      </c>
      <c r="H191">
        <v>14</v>
      </c>
      <c r="I191">
        <v>234000</v>
      </c>
      <c r="J191">
        <v>0</v>
      </c>
      <c r="K191" t="s">
        <v>51</v>
      </c>
      <c r="L191" s="1">
        <v>46057</v>
      </c>
      <c r="M191" s="1">
        <v>46060</v>
      </c>
      <c r="N191" t="s">
        <v>67</v>
      </c>
      <c r="P191">
        <v>189</v>
      </c>
      <c r="Q191" t="s">
        <v>331</v>
      </c>
      <c r="R191" t="s">
        <v>83</v>
      </c>
      <c r="S191" t="s">
        <v>55</v>
      </c>
      <c r="T191" t="s">
        <v>56</v>
      </c>
      <c r="U191" t="s">
        <v>257</v>
      </c>
      <c r="V191" t="s">
        <v>58</v>
      </c>
      <c r="W191" t="s">
        <v>59</v>
      </c>
      <c r="X191">
        <v>180000</v>
      </c>
      <c r="Y191">
        <v>234000</v>
      </c>
      <c r="Z191" t="s">
        <v>56</v>
      </c>
      <c r="AA191" t="s">
        <v>60</v>
      </c>
      <c r="AB191" t="s">
        <v>74</v>
      </c>
      <c r="AC191" t="s">
        <v>75</v>
      </c>
      <c r="AD191" t="s">
        <v>94</v>
      </c>
      <c r="AE191">
        <v>3276000</v>
      </c>
      <c r="AF191">
        <v>2520000</v>
      </c>
      <c r="AG191">
        <v>756000</v>
      </c>
      <c r="AH191" t="b">
        <v>1</v>
      </c>
      <c r="AI191" t="b">
        <v>1</v>
      </c>
      <c r="AJ191">
        <v>0</v>
      </c>
      <c r="AK191">
        <v>3</v>
      </c>
      <c r="AL191" t="b">
        <v>1</v>
      </c>
      <c r="AM191" t="b">
        <v>0</v>
      </c>
      <c r="AN191">
        <v>3276000</v>
      </c>
      <c r="AO191">
        <v>756000</v>
      </c>
      <c r="AP191">
        <v>14</v>
      </c>
      <c r="AQ191">
        <v>14</v>
      </c>
      <c r="AR191">
        <v>0</v>
      </c>
      <c r="AS191">
        <v>1</v>
      </c>
      <c r="AT191">
        <v>0</v>
      </c>
      <c r="AU191">
        <v>756000</v>
      </c>
    </row>
    <row r="192" spans="1:47" x14ac:dyDescent="0.3">
      <c r="A192" s="1">
        <v>46104</v>
      </c>
      <c r="B192" t="s">
        <v>432</v>
      </c>
      <c r="C192">
        <v>3</v>
      </c>
      <c r="D192" t="s">
        <v>90</v>
      </c>
      <c r="E192" t="s">
        <v>230</v>
      </c>
      <c r="F192" t="s">
        <v>114</v>
      </c>
      <c r="G192">
        <v>22</v>
      </c>
      <c r="H192">
        <v>22</v>
      </c>
      <c r="I192">
        <v>2196000</v>
      </c>
      <c r="J192">
        <v>0.1</v>
      </c>
      <c r="K192" t="s">
        <v>51</v>
      </c>
      <c r="L192" s="1">
        <v>46106</v>
      </c>
      <c r="M192" s="1">
        <v>46108</v>
      </c>
      <c r="N192" t="s">
        <v>81</v>
      </c>
      <c r="P192">
        <v>190</v>
      </c>
      <c r="Q192" t="s">
        <v>92</v>
      </c>
      <c r="R192" t="s">
        <v>75</v>
      </c>
      <c r="S192" t="s">
        <v>84</v>
      </c>
      <c r="T192" t="s">
        <v>56</v>
      </c>
      <c r="U192" t="s">
        <v>232</v>
      </c>
      <c r="V192" t="s">
        <v>101</v>
      </c>
      <c r="W192" t="s">
        <v>102</v>
      </c>
      <c r="X192">
        <v>1800000</v>
      </c>
      <c r="Y192">
        <v>2196000</v>
      </c>
      <c r="Z192" t="s">
        <v>56</v>
      </c>
      <c r="AA192" t="s">
        <v>129</v>
      </c>
      <c r="AB192" t="s">
        <v>117</v>
      </c>
      <c r="AC192" t="s">
        <v>83</v>
      </c>
      <c r="AD192" t="s">
        <v>62</v>
      </c>
      <c r="AE192">
        <v>43480800</v>
      </c>
      <c r="AF192">
        <v>39600000</v>
      </c>
      <c r="AG192">
        <v>3880800</v>
      </c>
      <c r="AH192" t="b">
        <v>1</v>
      </c>
      <c r="AI192" t="b">
        <v>1</v>
      </c>
      <c r="AJ192">
        <v>0</v>
      </c>
      <c r="AK192">
        <v>2</v>
      </c>
      <c r="AL192" t="b">
        <v>1</v>
      </c>
      <c r="AM192" t="b">
        <v>0</v>
      </c>
      <c r="AN192">
        <v>43480800</v>
      </c>
      <c r="AO192">
        <v>3880800</v>
      </c>
      <c r="AP192">
        <v>22</v>
      </c>
      <c r="AQ192">
        <v>22</v>
      </c>
      <c r="AR192">
        <v>0</v>
      </c>
      <c r="AS192">
        <v>1</v>
      </c>
      <c r="AT192">
        <v>0</v>
      </c>
      <c r="AU192">
        <v>3880800</v>
      </c>
    </row>
    <row r="193" spans="1:47" x14ac:dyDescent="0.3">
      <c r="A193" s="1">
        <v>46164</v>
      </c>
      <c r="B193" t="s">
        <v>359</v>
      </c>
      <c r="C193">
        <v>3</v>
      </c>
      <c r="D193" t="s">
        <v>48</v>
      </c>
      <c r="E193" t="s">
        <v>126</v>
      </c>
      <c r="F193" t="s">
        <v>66</v>
      </c>
      <c r="G193">
        <v>15</v>
      </c>
      <c r="H193">
        <v>10</v>
      </c>
      <c r="I193">
        <v>845000</v>
      </c>
      <c r="J193">
        <v>0</v>
      </c>
      <c r="K193" t="s">
        <v>98</v>
      </c>
      <c r="L193" s="1">
        <v>46166</v>
      </c>
      <c r="N193" t="s">
        <v>67</v>
      </c>
      <c r="P193">
        <v>191</v>
      </c>
      <c r="Q193" t="s">
        <v>53</v>
      </c>
      <c r="R193" t="s">
        <v>54</v>
      </c>
      <c r="S193" t="s">
        <v>55</v>
      </c>
      <c r="T193" t="s">
        <v>56</v>
      </c>
      <c r="U193" t="s">
        <v>128</v>
      </c>
      <c r="V193" t="s">
        <v>58</v>
      </c>
      <c r="W193" t="s">
        <v>59</v>
      </c>
      <c r="X193">
        <v>650000</v>
      </c>
      <c r="Y193">
        <v>845000</v>
      </c>
      <c r="Z193" t="s">
        <v>56</v>
      </c>
      <c r="AA193" t="s">
        <v>129</v>
      </c>
      <c r="AB193" t="s">
        <v>74</v>
      </c>
      <c r="AC193" t="s">
        <v>75</v>
      </c>
      <c r="AD193" t="s">
        <v>76</v>
      </c>
      <c r="AE193">
        <v>8450000</v>
      </c>
      <c r="AF193">
        <v>6500000</v>
      </c>
      <c r="AG193">
        <v>1950000</v>
      </c>
      <c r="AH193" t="b">
        <v>1</v>
      </c>
      <c r="AI193" t="b">
        <v>0</v>
      </c>
      <c r="AL193" t="b">
        <v>1</v>
      </c>
      <c r="AM193" t="b">
        <v>0</v>
      </c>
      <c r="AN193">
        <v>8450000</v>
      </c>
      <c r="AO193">
        <v>1950000</v>
      </c>
      <c r="AP193">
        <v>10</v>
      </c>
      <c r="AQ193">
        <v>15</v>
      </c>
      <c r="AR193">
        <v>0</v>
      </c>
      <c r="AS193">
        <v>0</v>
      </c>
      <c r="AT193">
        <v>0</v>
      </c>
      <c r="AU193">
        <v>1950000</v>
      </c>
    </row>
    <row r="194" spans="1:47" x14ac:dyDescent="0.3">
      <c r="A194" s="1">
        <v>46124</v>
      </c>
      <c r="B194" t="s">
        <v>296</v>
      </c>
      <c r="C194">
        <v>2</v>
      </c>
      <c r="D194" t="s">
        <v>229</v>
      </c>
      <c r="E194" t="s">
        <v>126</v>
      </c>
      <c r="F194" t="s">
        <v>66</v>
      </c>
      <c r="G194">
        <v>1</v>
      </c>
      <c r="H194">
        <v>0</v>
      </c>
      <c r="I194">
        <v>845000</v>
      </c>
      <c r="J194">
        <v>0</v>
      </c>
      <c r="K194" t="s">
        <v>98</v>
      </c>
      <c r="L194" s="1">
        <v>46127</v>
      </c>
      <c r="N194" t="s">
        <v>106</v>
      </c>
      <c r="P194">
        <v>192</v>
      </c>
      <c r="Q194" t="s">
        <v>231</v>
      </c>
      <c r="R194" t="s">
        <v>83</v>
      </c>
      <c r="S194" t="s">
        <v>123</v>
      </c>
      <c r="T194" t="s">
        <v>56</v>
      </c>
      <c r="U194" t="s">
        <v>128</v>
      </c>
      <c r="V194" t="s">
        <v>58</v>
      </c>
      <c r="W194" t="s">
        <v>59</v>
      </c>
      <c r="X194">
        <v>650000</v>
      </c>
      <c r="Y194">
        <v>845000</v>
      </c>
      <c r="Z194" t="s">
        <v>56</v>
      </c>
      <c r="AA194" t="s">
        <v>129</v>
      </c>
      <c r="AB194" t="s">
        <v>74</v>
      </c>
      <c r="AC194" t="s">
        <v>75</v>
      </c>
      <c r="AD194" t="s">
        <v>130</v>
      </c>
      <c r="AE194">
        <v>0</v>
      </c>
      <c r="AF194">
        <v>0</v>
      </c>
      <c r="AG194">
        <v>0</v>
      </c>
      <c r="AH194" t="b">
        <v>1</v>
      </c>
      <c r="AI194" t="b">
        <v>0</v>
      </c>
      <c r="AL194" t="b">
        <v>1</v>
      </c>
      <c r="AM194" t="b">
        <v>0</v>
      </c>
      <c r="AN194">
        <v>0</v>
      </c>
      <c r="AO194">
        <v>0</v>
      </c>
      <c r="AP194">
        <v>0</v>
      </c>
      <c r="AQ194">
        <v>1</v>
      </c>
      <c r="AR194">
        <v>0</v>
      </c>
      <c r="AS194">
        <v>0</v>
      </c>
      <c r="AT194">
        <v>0</v>
      </c>
      <c r="AU194">
        <v>0</v>
      </c>
    </row>
    <row r="195" spans="1:47" x14ac:dyDescent="0.3">
      <c r="A195" s="1">
        <v>46170</v>
      </c>
      <c r="B195" t="s">
        <v>433</v>
      </c>
      <c r="C195">
        <v>2</v>
      </c>
      <c r="D195" t="s">
        <v>300</v>
      </c>
      <c r="E195" t="s">
        <v>132</v>
      </c>
      <c r="F195" t="s">
        <v>80</v>
      </c>
      <c r="G195">
        <v>30</v>
      </c>
      <c r="H195">
        <v>30</v>
      </c>
      <c r="I195">
        <v>413000</v>
      </c>
      <c r="J195">
        <v>0.08</v>
      </c>
      <c r="K195" t="s">
        <v>51</v>
      </c>
      <c r="L195" s="1">
        <v>46180</v>
      </c>
      <c r="M195" s="1">
        <v>46180</v>
      </c>
      <c r="N195" t="s">
        <v>67</v>
      </c>
      <c r="P195">
        <v>193</v>
      </c>
      <c r="Q195" t="s">
        <v>301</v>
      </c>
      <c r="R195" t="s">
        <v>83</v>
      </c>
      <c r="S195" t="s">
        <v>123</v>
      </c>
      <c r="T195" t="s">
        <v>56</v>
      </c>
      <c r="U195" t="s">
        <v>133</v>
      </c>
      <c r="V195" t="s">
        <v>109</v>
      </c>
      <c r="W195" t="s">
        <v>110</v>
      </c>
      <c r="X195">
        <v>350000</v>
      </c>
      <c r="Y195">
        <v>413000</v>
      </c>
      <c r="Z195" t="s">
        <v>134</v>
      </c>
      <c r="AA195" t="s">
        <v>73</v>
      </c>
      <c r="AB195" t="s">
        <v>88</v>
      </c>
      <c r="AC195" t="s">
        <v>83</v>
      </c>
      <c r="AD195" t="s">
        <v>76</v>
      </c>
      <c r="AE195">
        <v>11398800</v>
      </c>
      <c r="AF195">
        <v>10500000</v>
      </c>
      <c r="AG195">
        <v>898800</v>
      </c>
      <c r="AH195" t="b">
        <v>1</v>
      </c>
      <c r="AI195" t="b">
        <v>1</v>
      </c>
      <c r="AJ195">
        <v>1</v>
      </c>
      <c r="AK195">
        <v>0</v>
      </c>
      <c r="AL195" t="b">
        <v>1</v>
      </c>
      <c r="AM195" t="b">
        <v>0</v>
      </c>
      <c r="AN195">
        <v>11398800</v>
      </c>
      <c r="AO195">
        <v>898800</v>
      </c>
      <c r="AP195">
        <v>30</v>
      </c>
      <c r="AQ195">
        <v>30</v>
      </c>
      <c r="AR195">
        <v>1</v>
      </c>
      <c r="AS195">
        <v>1</v>
      </c>
      <c r="AT195">
        <v>0</v>
      </c>
      <c r="AU195">
        <v>898800</v>
      </c>
    </row>
    <row r="196" spans="1:47" x14ac:dyDescent="0.3">
      <c r="A196" s="1">
        <v>46179</v>
      </c>
      <c r="B196" t="s">
        <v>434</v>
      </c>
      <c r="C196">
        <v>1</v>
      </c>
      <c r="D196" t="s">
        <v>188</v>
      </c>
      <c r="E196" t="s">
        <v>91</v>
      </c>
      <c r="F196" t="s">
        <v>66</v>
      </c>
      <c r="G196">
        <v>12</v>
      </c>
      <c r="H196">
        <v>11</v>
      </c>
      <c r="I196">
        <v>2250000</v>
      </c>
      <c r="J196">
        <v>0.02</v>
      </c>
      <c r="K196" t="s">
        <v>98</v>
      </c>
      <c r="L196" s="1">
        <v>46186</v>
      </c>
      <c r="N196" t="s">
        <v>106</v>
      </c>
      <c r="P196">
        <v>194</v>
      </c>
      <c r="Q196" t="s">
        <v>190</v>
      </c>
      <c r="R196" t="s">
        <v>83</v>
      </c>
      <c r="S196" t="s">
        <v>123</v>
      </c>
      <c r="T196" t="s">
        <v>56</v>
      </c>
      <c r="U196" t="s">
        <v>93</v>
      </c>
      <c r="V196" t="s">
        <v>86</v>
      </c>
      <c r="W196" t="s">
        <v>87</v>
      </c>
      <c r="X196">
        <v>1800000</v>
      </c>
      <c r="Y196">
        <v>2250000</v>
      </c>
      <c r="Z196" t="s">
        <v>56</v>
      </c>
      <c r="AA196" t="s">
        <v>60</v>
      </c>
      <c r="AB196" t="s">
        <v>74</v>
      </c>
      <c r="AC196" t="s">
        <v>75</v>
      </c>
      <c r="AD196" t="s">
        <v>118</v>
      </c>
      <c r="AE196">
        <v>24255000</v>
      </c>
      <c r="AF196">
        <v>19800000</v>
      </c>
      <c r="AG196">
        <v>4455000</v>
      </c>
      <c r="AH196" t="b">
        <v>1</v>
      </c>
      <c r="AI196" t="b">
        <v>0</v>
      </c>
      <c r="AL196" t="b">
        <v>1</v>
      </c>
      <c r="AM196" t="b">
        <v>0</v>
      </c>
      <c r="AN196">
        <v>24255000</v>
      </c>
      <c r="AO196">
        <v>4455000</v>
      </c>
      <c r="AP196">
        <v>11</v>
      </c>
      <c r="AQ196">
        <v>12</v>
      </c>
      <c r="AR196">
        <v>0</v>
      </c>
      <c r="AS196">
        <v>0</v>
      </c>
      <c r="AT196">
        <v>0</v>
      </c>
      <c r="AU196">
        <v>4455000</v>
      </c>
    </row>
    <row r="197" spans="1:47" x14ac:dyDescent="0.3">
      <c r="A197" s="1">
        <v>46195</v>
      </c>
      <c r="B197" t="s">
        <v>435</v>
      </c>
      <c r="C197">
        <v>3</v>
      </c>
      <c r="D197" t="s">
        <v>78</v>
      </c>
      <c r="E197" t="s">
        <v>152</v>
      </c>
      <c r="F197" t="s">
        <v>50</v>
      </c>
      <c r="G197">
        <v>8</v>
      </c>
      <c r="H197">
        <v>8</v>
      </c>
      <c r="I197">
        <v>845000</v>
      </c>
      <c r="J197">
        <v>0.08</v>
      </c>
      <c r="K197" t="s">
        <v>51</v>
      </c>
      <c r="L197" s="1">
        <v>46200</v>
      </c>
      <c r="M197" s="1">
        <v>46201</v>
      </c>
      <c r="N197" t="s">
        <v>81</v>
      </c>
      <c r="P197">
        <v>195</v>
      </c>
      <c r="Q197" t="s">
        <v>82</v>
      </c>
      <c r="R197" t="s">
        <v>83</v>
      </c>
      <c r="S197" t="s">
        <v>84</v>
      </c>
      <c r="T197" t="s">
        <v>56</v>
      </c>
      <c r="U197" t="s">
        <v>154</v>
      </c>
      <c r="V197" t="s">
        <v>58</v>
      </c>
      <c r="W197" t="s">
        <v>59</v>
      </c>
      <c r="X197">
        <v>650000</v>
      </c>
      <c r="Y197">
        <v>845000</v>
      </c>
      <c r="Z197" t="s">
        <v>56</v>
      </c>
      <c r="AA197" t="s">
        <v>73</v>
      </c>
      <c r="AB197" t="s">
        <v>61</v>
      </c>
      <c r="AC197" t="s">
        <v>54</v>
      </c>
      <c r="AD197" t="s">
        <v>118</v>
      </c>
      <c r="AE197">
        <v>6219200</v>
      </c>
      <c r="AF197">
        <v>5200000</v>
      </c>
      <c r="AG197">
        <v>1019200</v>
      </c>
      <c r="AH197" t="b">
        <v>1</v>
      </c>
      <c r="AI197" t="b">
        <v>1</v>
      </c>
      <c r="AJ197">
        <v>0</v>
      </c>
      <c r="AK197">
        <v>1</v>
      </c>
      <c r="AL197" t="b">
        <v>1</v>
      </c>
      <c r="AM197" t="b">
        <v>0</v>
      </c>
      <c r="AN197">
        <v>6219200</v>
      </c>
      <c r="AO197">
        <v>1019200</v>
      </c>
      <c r="AP197">
        <v>8</v>
      </c>
      <c r="AQ197">
        <v>8</v>
      </c>
      <c r="AR197">
        <v>0</v>
      </c>
      <c r="AS197">
        <v>1</v>
      </c>
      <c r="AT197">
        <v>0</v>
      </c>
      <c r="AU197">
        <v>1019200</v>
      </c>
    </row>
    <row r="198" spans="1:47" x14ac:dyDescent="0.3">
      <c r="A198" s="1">
        <v>46170</v>
      </c>
      <c r="B198" t="s">
        <v>436</v>
      </c>
      <c r="C198">
        <v>4</v>
      </c>
      <c r="D198" t="s">
        <v>269</v>
      </c>
      <c r="E198" t="s">
        <v>175</v>
      </c>
      <c r="F198" t="s">
        <v>80</v>
      </c>
      <c r="G198">
        <v>11</v>
      </c>
      <c r="H198">
        <v>11</v>
      </c>
      <c r="I198">
        <v>1098000</v>
      </c>
      <c r="J198">
        <v>0.02</v>
      </c>
      <c r="K198" t="s">
        <v>51</v>
      </c>
      <c r="L198" s="1">
        <v>46175</v>
      </c>
      <c r="M198" s="1">
        <v>46177</v>
      </c>
      <c r="N198" t="s">
        <v>106</v>
      </c>
      <c r="P198">
        <v>196</v>
      </c>
      <c r="Q198" t="s">
        <v>270</v>
      </c>
      <c r="R198" t="s">
        <v>83</v>
      </c>
      <c r="S198" t="s">
        <v>55</v>
      </c>
      <c r="T198" t="s">
        <v>56</v>
      </c>
      <c r="U198" t="s">
        <v>177</v>
      </c>
      <c r="V198" t="s">
        <v>101</v>
      </c>
      <c r="W198" t="s">
        <v>102</v>
      </c>
      <c r="X198">
        <v>900000</v>
      </c>
      <c r="Y198">
        <v>1098000</v>
      </c>
      <c r="Z198" t="s">
        <v>56</v>
      </c>
      <c r="AA198" t="s">
        <v>129</v>
      </c>
      <c r="AB198" t="s">
        <v>88</v>
      </c>
      <c r="AC198" t="s">
        <v>83</v>
      </c>
      <c r="AD198" t="s">
        <v>76</v>
      </c>
      <c r="AE198">
        <v>11836440</v>
      </c>
      <c r="AF198">
        <v>9900000</v>
      </c>
      <c r="AG198">
        <v>1936440</v>
      </c>
      <c r="AH198" t="b">
        <v>1</v>
      </c>
      <c r="AI198" t="b">
        <v>1</v>
      </c>
      <c r="AJ198">
        <v>0</v>
      </c>
      <c r="AK198">
        <v>2</v>
      </c>
      <c r="AL198" t="b">
        <v>1</v>
      </c>
      <c r="AM198" t="b">
        <v>0</v>
      </c>
      <c r="AN198">
        <v>11836440</v>
      </c>
      <c r="AO198">
        <v>1936440</v>
      </c>
      <c r="AP198">
        <v>11</v>
      </c>
      <c r="AQ198">
        <v>11</v>
      </c>
      <c r="AR198">
        <v>0</v>
      </c>
      <c r="AS198">
        <v>1</v>
      </c>
      <c r="AT198">
        <v>0</v>
      </c>
      <c r="AU198">
        <v>1936440</v>
      </c>
    </row>
    <row r="199" spans="1:47" x14ac:dyDescent="0.3">
      <c r="A199" s="1">
        <v>46114</v>
      </c>
      <c r="B199" t="s">
        <v>437</v>
      </c>
      <c r="C199">
        <v>4</v>
      </c>
      <c r="D199" t="s">
        <v>277</v>
      </c>
      <c r="E199" t="s">
        <v>147</v>
      </c>
      <c r="F199" t="s">
        <v>66</v>
      </c>
      <c r="G199">
        <v>33</v>
      </c>
      <c r="H199">
        <v>31</v>
      </c>
      <c r="I199">
        <v>614000</v>
      </c>
      <c r="J199">
        <v>0.05</v>
      </c>
      <c r="K199" t="s">
        <v>51</v>
      </c>
      <c r="L199" s="1">
        <v>46119</v>
      </c>
      <c r="M199" s="1">
        <v>46122</v>
      </c>
      <c r="N199" t="s">
        <v>67</v>
      </c>
      <c r="P199">
        <v>197</v>
      </c>
      <c r="Q199" t="s">
        <v>278</v>
      </c>
      <c r="R199" t="s">
        <v>75</v>
      </c>
      <c r="S199" t="s">
        <v>123</v>
      </c>
      <c r="T199" t="s">
        <v>218</v>
      </c>
      <c r="U199" t="s">
        <v>149</v>
      </c>
      <c r="V199" t="s">
        <v>138</v>
      </c>
      <c r="W199" t="s">
        <v>139</v>
      </c>
      <c r="X199">
        <v>480000</v>
      </c>
      <c r="Y199">
        <v>614000</v>
      </c>
      <c r="Z199" t="s">
        <v>56</v>
      </c>
      <c r="AA199" t="s">
        <v>129</v>
      </c>
      <c r="AB199" t="s">
        <v>74</v>
      </c>
      <c r="AC199" t="s">
        <v>75</v>
      </c>
      <c r="AD199" t="s">
        <v>130</v>
      </c>
      <c r="AE199">
        <v>18082300</v>
      </c>
      <c r="AF199">
        <v>14880000</v>
      </c>
      <c r="AG199">
        <v>3202300</v>
      </c>
      <c r="AH199" t="b">
        <v>1</v>
      </c>
      <c r="AI199" t="b">
        <v>1</v>
      </c>
      <c r="AJ199">
        <v>0</v>
      </c>
      <c r="AK199">
        <v>3</v>
      </c>
      <c r="AL199" t="b">
        <v>1</v>
      </c>
      <c r="AM199" t="b">
        <v>0</v>
      </c>
      <c r="AN199">
        <v>18082300</v>
      </c>
      <c r="AO199">
        <v>3202300</v>
      </c>
      <c r="AP199">
        <v>31</v>
      </c>
      <c r="AQ199">
        <v>33</v>
      </c>
      <c r="AR199">
        <v>0</v>
      </c>
      <c r="AS199">
        <v>1</v>
      </c>
      <c r="AT199">
        <v>0</v>
      </c>
      <c r="AU199">
        <v>3202300</v>
      </c>
    </row>
    <row r="200" spans="1:47" x14ac:dyDescent="0.3">
      <c r="A200" s="1">
        <v>46148</v>
      </c>
      <c r="B200" t="s">
        <v>438</v>
      </c>
      <c r="C200">
        <v>1</v>
      </c>
      <c r="D200" t="s">
        <v>185</v>
      </c>
      <c r="E200" t="s">
        <v>97</v>
      </c>
      <c r="F200" t="s">
        <v>80</v>
      </c>
      <c r="G200">
        <v>19</v>
      </c>
      <c r="H200">
        <v>18</v>
      </c>
      <c r="I200">
        <v>427000</v>
      </c>
      <c r="J200">
        <v>0.02</v>
      </c>
      <c r="K200" t="s">
        <v>51</v>
      </c>
      <c r="L200" s="1">
        <v>46150</v>
      </c>
      <c r="M200" s="1">
        <v>46157</v>
      </c>
      <c r="N200" t="s">
        <v>67</v>
      </c>
      <c r="P200">
        <v>198</v>
      </c>
      <c r="Q200" t="s">
        <v>186</v>
      </c>
      <c r="R200" t="s">
        <v>54</v>
      </c>
      <c r="S200" t="s">
        <v>55</v>
      </c>
      <c r="T200" t="s">
        <v>56</v>
      </c>
      <c r="U200" t="s">
        <v>100</v>
      </c>
      <c r="V200" t="s">
        <v>101</v>
      </c>
      <c r="W200" t="s">
        <v>102</v>
      </c>
      <c r="X200">
        <v>350000</v>
      </c>
      <c r="Y200">
        <v>427000</v>
      </c>
      <c r="Z200" t="s">
        <v>56</v>
      </c>
      <c r="AA200" t="s">
        <v>73</v>
      </c>
      <c r="AB200" t="s">
        <v>88</v>
      </c>
      <c r="AC200" t="s">
        <v>83</v>
      </c>
      <c r="AD200" t="s">
        <v>76</v>
      </c>
      <c r="AE200">
        <v>7532280</v>
      </c>
      <c r="AF200">
        <v>6300000</v>
      </c>
      <c r="AG200">
        <v>1232280</v>
      </c>
      <c r="AH200" t="b">
        <v>1</v>
      </c>
      <c r="AI200" t="b">
        <v>1</v>
      </c>
      <c r="AJ200">
        <v>0</v>
      </c>
      <c r="AK200">
        <v>7</v>
      </c>
      <c r="AL200" t="b">
        <v>1</v>
      </c>
      <c r="AM200" t="b">
        <v>0</v>
      </c>
      <c r="AN200">
        <v>7532280</v>
      </c>
      <c r="AO200">
        <v>1232280</v>
      </c>
      <c r="AP200">
        <v>18</v>
      </c>
      <c r="AQ200">
        <v>19</v>
      </c>
      <c r="AR200">
        <v>0</v>
      </c>
      <c r="AS200">
        <v>1</v>
      </c>
      <c r="AT200">
        <v>0</v>
      </c>
      <c r="AU200">
        <v>1232280</v>
      </c>
    </row>
    <row r="201" spans="1:47" x14ac:dyDescent="0.3">
      <c r="A201" s="1">
        <v>46167</v>
      </c>
      <c r="B201" t="s">
        <v>404</v>
      </c>
      <c r="C201">
        <v>1</v>
      </c>
      <c r="D201" t="s">
        <v>185</v>
      </c>
      <c r="E201" t="s">
        <v>230</v>
      </c>
      <c r="F201" t="s">
        <v>50</v>
      </c>
      <c r="G201">
        <v>35</v>
      </c>
      <c r="H201">
        <v>23</v>
      </c>
      <c r="I201">
        <v>2196000</v>
      </c>
      <c r="J201">
        <v>0.08</v>
      </c>
      <c r="K201" t="s">
        <v>98</v>
      </c>
      <c r="L201" s="1">
        <v>46168</v>
      </c>
      <c r="N201" t="s">
        <v>67</v>
      </c>
      <c r="P201">
        <v>199</v>
      </c>
      <c r="Q201" t="s">
        <v>186</v>
      </c>
      <c r="R201" t="s">
        <v>54</v>
      </c>
      <c r="S201" t="s">
        <v>55</v>
      </c>
      <c r="T201" t="s">
        <v>56</v>
      </c>
      <c r="U201" t="s">
        <v>232</v>
      </c>
      <c r="V201" t="s">
        <v>101</v>
      </c>
      <c r="W201" t="s">
        <v>102</v>
      </c>
      <c r="X201">
        <v>1800000</v>
      </c>
      <c r="Y201">
        <v>2196000</v>
      </c>
      <c r="Z201" t="s">
        <v>56</v>
      </c>
      <c r="AA201" t="s">
        <v>129</v>
      </c>
      <c r="AB201" t="s">
        <v>61</v>
      </c>
      <c r="AC201" t="s">
        <v>54</v>
      </c>
      <c r="AD201" t="s">
        <v>76</v>
      </c>
      <c r="AE201">
        <v>46467360</v>
      </c>
      <c r="AF201">
        <v>41400000</v>
      </c>
      <c r="AG201">
        <v>5067360</v>
      </c>
      <c r="AH201" t="b">
        <v>1</v>
      </c>
      <c r="AI201" t="b">
        <v>0</v>
      </c>
      <c r="AL201" t="b">
        <v>1</v>
      </c>
      <c r="AM201" t="b">
        <v>0</v>
      </c>
      <c r="AN201">
        <v>46467360</v>
      </c>
      <c r="AO201">
        <v>5067360</v>
      </c>
      <c r="AP201">
        <v>23</v>
      </c>
      <c r="AQ201">
        <v>35</v>
      </c>
      <c r="AR201">
        <v>0</v>
      </c>
      <c r="AS201">
        <v>0</v>
      </c>
      <c r="AT201">
        <v>0</v>
      </c>
      <c r="AU201">
        <v>5067360</v>
      </c>
    </row>
    <row r="202" spans="1:47" x14ac:dyDescent="0.3">
      <c r="A202" s="1">
        <v>46162</v>
      </c>
      <c r="B202" t="s">
        <v>396</v>
      </c>
      <c r="C202">
        <v>4</v>
      </c>
      <c r="D202" t="s">
        <v>336</v>
      </c>
      <c r="E202" t="s">
        <v>152</v>
      </c>
      <c r="F202" t="s">
        <v>50</v>
      </c>
      <c r="G202">
        <v>3</v>
      </c>
      <c r="H202">
        <v>3</v>
      </c>
      <c r="I202">
        <v>845000</v>
      </c>
      <c r="J202">
        <v>0.05</v>
      </c>
      <c r="K202" t="s">
        <v>51</v>
      </c>
      <c r="L202" s="1">
        <v>46163</v>
      </c>
      <c r="M202" s="1">
        <v>46170</v>
      </c>
      <c r="N202" t="s">
        <v>81</v>
      </c>
      <c r="P202">
        <v>200</v>
      </c>
      <c r="Q202" t="s">
        <v>337</v>
      </c>
      <c r="R202" t="s">
        <v>75</v>
      </c>
      <c r="S202" t="s">
        <v>84</v>
      </c>
      <c r="T202" t="s">
        <v>56</v>
      </c>
      <c r="U202" t="s">
        <v>154</v>
      </c>
      <c r="V202" t="s">
        <v>58</v>
      </c>
      <c r="W202" t="s">
        <v>59</v>
      </c>
      <c r="X202">
        <v>650000</v>
      </c>
      <c r="Y202">
        <v>845000</v>
      </c>
      <c r="Z202" t="s">
        <v>56</v>
      </c>
      <c r="AA202" t="s">
        <v>73</v>
      </c>
      <c r="AB202" t="s">
        <v>61</v>
      </c>
      <c r="AC202" t="s">
        <v>54</v>
      </c>
      <c r="AD202" t="s">
        <v>76</v>
      </c>
      <c r="AE202">
        <v>2408250</v>
      </c>
      <c r="AF202">
        <v>1950000</v>
      </c>
      <c r="AG202">
        <v>458250</v>
      </c>
      <c r="AH202" t="b">
        <v>1</v>
      </c>
      <c r="AI202" t="b">
        <v>1</v>
      </c>
      <c r="AJ202">
        <v>0</v>
      </c>
      <c r="AK202">
        <v>7</v>
      </c>
      <c r="AL202" t="b">
        <v>1</v>
      </c>
      <c r="AM202" t="b">
        <v>0</v>
      </c>
      <c r="AN202">
        <v>2408250</v>
      </c>
      <c r="AO202">
        <v>458250</v>
      </c>
      <c r="AP202">
        <v>3</v>
      </c>
      <c r="AQ202">
        <v>3</v>
      </c>
      <c r="AR202">
        <v>0</v>
      </c>
      <c r="AS202">
        <v>1</v>
      </c>
      <c r="AT202">
        <v>0</v>
      </c>
      <c r="AU202">
        <v>458250</v>
      </c>
    </row>
    <row r="203" spans="1:47" x14ac:dyDescent="0.3">
      <c r="A203" s="1">
        <v>46076</v>
      </c>
      <c r="B203" t="s">
        <v>439</v>
      </c>
      <c r="C203">
        <v>4</v>
      </c>
      <c r="D203" t="s">
        <v>344</v>
      </c>
      <c r="E203" t="s">
        <v>348</v>
      </c>
      <c r="F203" t="s">
        <v>80</v>
      </c>
      <c r="G203">
        <v>14</v>
      </c>
      <c r="H203">
        <v>9</v>
      </c>
      <c r="I203">
        <v>566000</v>
      </c>
      <c r="J203">
        <v>0.02</v>
      </c>
      <c r="K203" t="s">
        <v>98</v>
      </c>
      <c r="L203" s="1">
        <v>46083</v>
      </c>
      <c r="N203" t="s">
        <v>52</v>
      </c>
      <c r="P203">
        <v>201</v>
      </c>
      <c r="Q203" t="s">
        <v>345</v>
      </c>
      <c r="R203" t="s">
        <v>54</v>
      </c>
      <c r="S203" t="s">
        <v>84</v>
      </c>
      <c r="T203" t="s">
        <v>56</v>
      </c>
      <c r="U203" t="s">
        <v>349</v>
      </c>
      <c r="V203" t="s">
        <v>109</v>
      </c>
      <c r="W203" t="s">
        <v>110</v>
      </c>
      <c r="X203">
        <v>480000</v>
      </c>
      <c r="Y203">
        <v>566000</v>
      </c>
      <c r="Z203" t="s">
        <v>56</v>
      </c>
      <c r="AA203" t="s">
        <v>60</v>
      </c>
      <c r="AB203" t="s">
        <v>88</v>
      </c>
      <c r="AC203" t="s">
        <v>83</v>
      </c>
      <c r="AD203" t="s">
        <v>158</v>
      </c>
      <c r="AE203">
        <v>4992120</v>
      </c>
      <c r="AF203">
        <v>4320000</v>
      </c>
      <c r="AG203">
        <v>672120</v>
      </c>
      <c r="AH203" t="b">
        <v>1</v>
      </c>
      <c r="AI203" t="b">
        <v>0</v>
      </c>
      <c r="AL203" t="b">
        <v>1</v>
      </c>
      <c r="AM203" t="b">
        <v>0</v>
      </c>
      <c r="AN203">
        <v>4992120</v>
      </c>
      <c r="AO203">
        <v>672120</v>
      </c>
      <c r="AP203">
        <v>9</v>
      </c>
      <c r="AQ203">
        <v>14</v>
      </c>
      <c r="AR203">
        <v>0</v>
      </c>
      <c r="AS203">
        <v>0</v>
      </c>
      <c r="AT203">
        <v>0</v>
      </c>
      <c r="AU203">
        <v>672120</v>
      </c>
    </row>
    <row r="204" spans="1:47" x14ac:dyDescent="0.3">
      <c r="A204" s="1">
        <v>46175</v>
      </c>
      <c r="B204" t="s">
        <v>428</v>
      </c>
      <c r="C204">
        <v>2</v>
      </c>
      <c r="D204" t="s">
        <v>194</v>
      </c>
      <c r="E204" t="s">
        <v>246</v>
      </c>
      <c r="F204" t="s">
        <v>50</v>
      </c>
      <c r="G204">
        <v>-9</v>
      </c>
      <c r="H204">
        <v>-9</v>
      </c>
      <c r="I204">
        <v>1152000</v>
      </c>
      <c r="J204">
        <v>0.1</v>
      </c>
      <c r="K204" t="s">
        <v>216</v>
      </c>
      <c r="L204" s="1">
        <v>46176</v>
      </c>
      <c r="M204" s="1">
        <v>46176</v>
      </c>
      <c r="N204" t="s">
        <v>67</v>
      </c>
      <c r="P204">
        <v>202</v>
      </c>
      <c r="Q204" t="s">
        <v>195</v>
      </c>
      <c r="R204" t="s">
        <v>54</v>
      </c>
      <c r="S204" t="s">
        <v>123</v>
      </c>
      <c r="T204" t="s">
        <v>56</v>
      </c>
      <c r="U204" t="s">
        <v>248</v>
      </c>
      <c r="V204" t="s">
        <v>138</v>
      </c>
      <c r="W204" t="s">
        <v>139</v>
      </c>
      <c r="X204">
        <v>900000</v>
      </c>
      <c r="Y204">
        <v>1152000</v>
      </c>
      <c r="Z204" t="s">
        <v>56</v>
      </c>
      <c r="AA204" t="s">
        <v>73</v>
      </c>
      <c r="AB204" t="s">
        <v>61</v>
      </c>
      <c r="AC204" t="s">
        <v>54</v>
      </c>
      <c r="AD204" t="s">
        <v>118</v>
      </c>
      <c r="AE204">
        <v>-9331200</v>
      </c>
      <c r="AF204">
        <v>-8100000</v>
      </c>
      <c r="AG204">
        <v>-1231200</v>
      </c>
      <c r="AH204" t="b">
        <v>1</v>
      </c>
      <c r="AI204" t="b">
        <v>1</v>
      </c>
      <c r="AJ204">
        <v>1</v>
      </c>
      <c r="AK204">
        <v>0</v>
      </c>
      <c r="AL204" t="b">
        <v>0</v>
      </c>
      <c r="AM204" t="b">
        <v>1</v>
      </c>
      <c r="AN204">
        <v>-9331200</v>
      </c>
      <c r="AO204">
        <v>-1231200</v>
      </c>
      <c r="AP204">
        <v>0</v>
      </c>
      <c r="AQ204">
        <v>0</v>
      </c>
      <c r="AR204">
        <v>1</v>
      </c>
      <c r="AS204">
        <v>1</v>
      </c>
      <c r="AT204">
        <v>-9331200</v>
      </c>
      <c r="AU204">
        <v>-1231200</v>
      </c>
    </row>
    <row r="205" spans="1:47" x14ac:dyDescent="0.3">
      <c r="A205" s="1">
        <v>46038</v>
      </c>
      <c r="B205" t="s">
        <v>440</v>
      </c>
      <c r="C205">
        <v>2</v>
      </c>
      <c r="D205" t="s">
        <v>277</v>
      </c>
      <c r="E205" t="s">
        <v>152</v>
      </c>
      <c r="F205" t="s">
        <v>80</v>
      </c>
      <c r="G205">
        <v>21</v>
      </c>
      <c r="H205">
        <v>12</v>
      </c>
      <c r="I205">
        <v>845000</v>
      </c>
      <c r="J205">
        <v>0.05</v>
      </c>
      <c r="K205" t="s">
        <v>98</v>
      </c>
      <c r="L205" s="1">
        <v>46040</v>
      </c>
      <c r="N205" t="s">
        <v>52</v>
      </c>
      <c r="P205">
        <v>203</v>
      </c>
      <c r="Q205" t="s">
        <v>278</v>
      </c>
      <c r="R205" t="s">
        <v>75</v>
      </c>
      <c r="S205" t="s">
        <v>123</v>
      </c>
      <c r="T205" t="s">
        <v>218</v>
      </c>
      <c r="U205" t="s">
        <v>154</v>
      </c>
      <c r="V205" t="s">
        <v>58</v>
      </c>
      <c r="W205" t="s">
        <v>59</v>
      </c>
      <c r="X205">
        <v>650000</v>
      </c>
      <c r="Y205">
        <v>845000</v>
      </c>
      <c r="Z205" t="s">
        <v>56</v>
      </c>
      <c r="AA205" t="s">
        <v>73</v>
      </c>
      <c r="AB205" t="s">
        <v>88</v>
      </c>
      <c r="AC205" t="s">
        <v>83</v>
      </c>
      <c r="AD205" t="s">
        <v>94</v>
      </c>
      <c r="AE205">
        <v>9633000</v>
      </c>
      <c r="AF205">
        <v>7800000</v>
      </c>
      <c r="AG205">
        <v>1833000</v>
      </c>
      <c r="AH205" t="b">
        <v>1</v>
      </c>
      <c r="AI205" t="b">
        <v>0</v>
      </c>
      <c r="AL205" t="b">
        <v>1</v>
      </c>
      <c r="AM205" t="b">
        <v>0</v>
      </c>
      <c r="AN205">
        <v>9633000</v>
      </c>
      <c r="AO205">
        <v>1833000</v>
      </c>
      <c r="AP205">
        <v>12</v>
      </c>
      <c r="AQ205">
        <v>21</v>
      </c>
      <c r="AR205">
        <v>0</v>
      </c>
      <c r="AS205">
        <v>0</v>
      </c>
      <c r="AT205">
        <v>0</v>
      </c>
      <c r="AU205">
        <v>1833000</v>
      </c>
    </row>
    <row r="206" spans="1:47" x14ac:dyDescent="0.3">
      <c r="A206" s="1">
        <v>46183</v>
      </c>
      <c r="B206" t="s">
        <v>318</v>
      </c>
      <c r="C206">
        <v>4</v>
      </c>
      <c r="D206" t="s">
        <v>229</v>
      </c>
      <c r="E206" t="s">
        <v>79</v>
      </c>
      <c r="F206" t="s">
        <v>114</v>
      </c>
      <c r="G206">
        <v>26</v>
      </c>
      <c r="H206">
        <v>24</v>
      </c>
      <c r="I206">
        <v>150000</v>
      </c>
      <c r="J206">
        <v>0.02</v>
      </c>
      <c r="K206" t="s">
        <v>51</v>
      </c>
      <c r="L206" s="1">
        <v>46188</v>
      </c>
      <c r="M206" s="1">
        <v>46189</v>
      </c>
      <c r="N206" t="s">
        <v>52</v>
      </c>
      <c r="P206">
        <v>204</v>
      </c>
      <c r="Q206" t="s">
        <v>231</v>
      </c>
      <c r="R206" t="s">
        <v>83</v>
      </c>
      <c r="S206" t="s">
        <v>123</v>
      </c>
      <c r="T206" t="s">
        <v>56</v>
      </c>
      <c r="U206" t="s">
        <v>85</v>
      </c>
      <c r="V206" t="s">
        <v>86</v>
      </c>
      <c r="W206" t="s">
        <v>87</v>
      </c>
      <c r="X206">
        <v>120000</v>
      </c>
      <c r="Y206">
        <v>150000</v>
      </c>
      <c r="Z206" t="s">
        <v>56</v>
      </c>
      <c r="AA206" t="s">
        <v>60</v>
      </c>
      <c r="AB206" t="s">
        <v>117</v>
      </c>
      <c r="AC206" t="s">
        <v>83</v>
      </c>
      <c r="AD206" t="s">
        <v>118</v>
      </c>
      <c r="AE206">
        <v>3528000</v>
      </c>
      <c r="AF206">
        <v>2880000</v>
      </c>
      <c r="AG206">
        <v>648000</v>
      </c>
      <c r="AH206" t="b">
        <v>1</v>
      </c>
      <c r="AI206" t="b">
        <v>1</v>
      </c>
      <c r="AJ206">
        <v>0</v>
      </c>
      <c r="AK206">
        <v>1</v>
      </c>
      <c r="AL206" t="b">
        <v>1</v>
      </c>
      <c r="AM206" t="b">
        <v>0</v>
      </c>
      <c r="AN206">
        <v>3528000</v>
      </c>
      <c r="AO206">
        <v>648000</v>
      </c>
      <c r="AP206">
        <v>24</v>
      </c>
      <c r="AQ206">
        <v>26</v>
      </c>
      <c r="AR206">
        <v>0</v>
      </c>
      <c r="AS206">
        <v>1</v>
      </c>
      <c r="AT206">
        <v>0</v>
      </c>
      <c r="AU206">
        <v>648000</v>
      </c>
    </row>
    <row r="207" spans="1:47" x14ac:dyDescent="0.3">
      <c r="A207" s="1">
        <v>46171</v>
      </c>
      <c r="B207" t="s">
        <v>441</v>
      </c>
      <c r="C207">
        <v>1</v>
      </c>
      <c r="D207" t="s">
        <v>182</v>
      </c>
      <c r="E207" t="s">
        <v>91</v>
      </c>
      <c r="F207" t="s">
        <v>114</v>
      </c>
      <c r="G207">
        <v>35</v>
      </c>
      <c r="H207">
        <v>35</v>
      </c>
      <c r="I207">
        <v>2250000</v>
      </c>
      <c r="J207">
        <v>0.05</v>
      </c>
      <c r="K207" t="s">
        <v>51</v>
      </c>
      <c r="L207" s="1">
        <v>46174</v>
      </c>
      <c r="M207" s="1">
        <v>46174</v>
      </c>
      <c r="N207" t="s">
        <v>52</v>
      </c>
      <c r="P207">
        <v>205</v>
      </c>
      <c r="Q207" t="s">
        <v>183</v>
      </c>
      <c r="R207" t="s">
        <v>75</v>
      </c>
      <c r="S207" t="s">
        <v>69</v>
      </c>
      <c r="T207" t="s">
        <v>56</v>
      </c>
      <c r="U207" t="s">
        <v>93</v>
      </c>
      <c r="V207" t="s">
        <v>86</v>
      </c>
      <c r="W207" t="s">
        <v>87</v>
      </c>
      <c r="X207">
        <v>1800000</v>
      </c>
      <c r="Y207">
        <v>2250000</v>
      </c>
      <c r="Z207" t="s">
        <v>56</v>
      </c>
      <c r="AA207" t="s">
        <v>60</v>
      </c>
      <c r="AB207" t="s">
        <v>117</v>
      </c>
      <c r="AC207" t="s">
        <v>83</v>
      </c>
      <c r="AD207" t="s">
        <v>76</v>
      </c>
      <c r="AE207">
        <v>74812500</v>
      </c>
      <c r="AF207">
        <v>63000000</v>
      </c>
      <c r="AG207">
        <v>11812500</v>
      </c>
      <c r="AH207" t="b">
        <v>1</v>
      </c>
      <c r="AI207" t="b">
        <v>1</v>
      </c>
      <c r="AJ207">
        <v>1</v>
      </c>
      <c r="AK207">
        <v>0</v>
      </c>
      <c r="AL207" t="b">
        <v>1</v>
      </c>
      <c r="AM207" t="b">
        <v>0</v>
      </c>
      <c r="AN207">
        <v>74812500</v>
      </c>
      <c r="AO207">
        <v>11812500</v>
      </c>
      <c r="AP207">
        <v>35</v>
      </c>
      <c r="AQ207">
        <v>35</v>
      </c>
      <c r="AR207">
        <v>1</v>
      </c>
      <c r="AS207">
        <v>1</v>
      </c>
      <c r="AT207">
        <v>0</v>
      </c>
      <c r="AU207">
        <v>11812500</v>
      </c>
    </row>
    <row r="208" spans="1:47" x14ac:dyDescent="0.3">
      <c r="A208" s="1">
        <v>46109</v>
      </c>
      <c r="B208" t="s">
        <v>442</v>
      </c>
      <c r="C208">
        <v>2</v>
      </c>
      <c r="D208" t="s">
        <v>185</v>
      </c>
      <c r="E208" t="s">
        <v>175</v>
      </c>
      <c r="F208" t="s">
        <v>50</v>
      </c>
      <c r="G208">
        <v>4</v>
      </c>
      <c r="H208">
        <v>4</v>
      </c>
      <c r="I208">
        <v>1098000</v>
      </c>
      <c r="J208">
        <v>0</v>
      </c>
      <c r="K208" t="s">
        <v>51</v>
      </c>
      <c r="L208" s="1">
        <v>46110</v>
      </c>
      <c r="M208" s="1">
        <v>46117</v>
      </c>
      <c r="N208" t="s">
        <v>81</v>
      </c>
      <c r="P208">
        <v>206</v>
      </c>
      <c r="Q208" t="s">
        <v>186</v>
      </c>
      <c r="R208" t="s">
        <v>54</v>
      </c>
      <c r="S208" t="s">
        <v>55</v>
      </c>
      <c r="T208" t="s">
        <v>56</v>
      </c>
      <c r="U208" t="s">
        <v>177</v>
      </c>
      <c r="V208" t="s">
        <v>101</v>
      </c>
      <c r="W208" t="s">
        <v>102</v>
      </c>
      <c r="X208">
        <v>900000</v>
      </c>
      <c r="Y208">
        <v>1098000</v>
      </c>
      <c r="Z208" t="s">
        <v>56</v>
      </c>
      <c r="AA208" t="s">
        <v>129</v>
      </c>
      <c r="AB208" t="s">
        <v>61</v>
      </c>
      <c r="AC208" t="s">
        <v>54</v>
      </c>
      <c r="AD208" t="s">
        <v>62</v>
      </c>
      <c r="AE208">
        <v>4392000</v>
      </c>
      <c r="AF208">
        <v>3600000</v>
      </c>
      <c r="AG208">
        <v>792000</v>
      </c>
      <c r="AH208" t="b">
        <v>1</v>
      </c>
      <c r="AI208" t="b">
        <v>1</v>
      </c>
      <c r="AJ208">
        <v>0</v>
      </c>
      <c r="AK208">
        <v>7</v>
      </c>
      <c r="AL208" t="b">
        <v>1</v>
      </c>
      <c r="AM208" t="b">
        <v>0</v>
      </c>
      <c r="AN208">
        <v>4392000</v>
      </c>
      <c r="AO208">
        <v>792000</v>
      </c>
      <c r="AP208">
        <v>4</v>
      </c>
      <c r="AQ208">
        <v>4</v>
      </c>
      <c r="AR208">
        <v>0</v>
      </c>
      <c r="AS208">
        <v>1</v>
      </c>
      <c r="AT208">
        <v>0</v>
      </c>
      <c r="AU208">
        <v>792000</v>
      </c>
    </row>
    <row r="209" spans="1:47" x14ac:dyDescent="0.3">
      <c r="A209" s="1">
        <v>46135</v>
      </c>
      <c r="B209" t="s">
        <v>443</v>
      </c>
      <c r="C209">
        <v>1</v>
      </c>
      <c r="D209" t="s">
        <v>174</v>
      </c>
      <c r="E209" t="s">
        <v>147</v>
      </c>
      <c r="F209" t="s">
        <v>80</v>
      </c>
      <c r="G209">
        <v>20</v>
      </c>
      <c r="H209">
        <v>20</v>
      </c>
      <c r="I209">
        <v>614000</v>
      </c>
      <c r="J209">
        <v>0.1</v>
      </c>
      <c r="K209" t="s">
        <v>51</v>
      </c>
      <c r="L209" s="1">
        <v>46138</v>
      </c>
      <c r="M209" s="1">
        <v>46138</v>
      </c>
      <c r="N209" t="s">
        <v>106</v>
      </c>
      <c r="P209">
        <v>207</v>
      </c>
      <c r="Q209" t="s">
        <v>176</v>
      </c>
      <c r="R209" t="s">
        <v>83</v>
      </c>
      <c r="S209" t="s">
        <v>69</v>
      </c>
      <c r="T209" t="s">
        <v>56</v>
      </c>
      <c r="U209" t="s">
        <v>149</v>
      </c>
      <c r="V209" t="s">
        <v>138</v>
      </c>
      <c r="W209" t="s">
        <v>139</v>
      </c>
      <c r="X209">
        <v>480000</v>
      </c>
      <c r="Y209">
        <v>614000</v>
      </c>
      <c r="Z209" t="s">
        <v>56</v>
      </c>
      <c r="AA209" t="s">
        <v>129</v>
      </c>
      <c r="AB209" t="s">
        <v>88</v>
      </c>
      <c r="AC209" t="s">
        <v>83</v>
      </c>
      <c r="AD209" t="s">
        <v>130</v>
      </c>
      <c r="AE209">
        <v>11052000</v>
      </c>
      <c r="AF209">
        <v>9600000</v>
      </c>
      <c r="AG209">
        <v>1452000</v>
      </c>
      <c r="AH209" t="b">
        <v>1</v>
      </c>
      <c r="AI209" t="b">
        <v>1</v>
      </c>
      <c r="AJ209">
        <v>1</v>
      </c>
      <c r="AK209">
        <v>0</v>
      </c>
      <c r="AL209" t="b">
        <v>1</v>
      </c>
      <c r="AM209" t="b">
        <v>0</v>
      </c>
      <c r="AN209">
        <v>11052000</v>
      </c>
      <c r="AO209">
        <v>1452000</v>
      </c>
      <c r="AP209">
        <v>20</v>
      </c>
      <c r="AQ209">
        <v>20</v>
      </c>
      <c r="AR209">
        <v>1</v>
      </c>
      <c r="AS209">
        <v>1</v>
      </c>
      <c r="AT209">
        <v>0</v>
      </c>
      <c r="AU209">
        <v>1452000</v>
      </c>
    </row>
    <row r="210" spans="1:47" x14ac:dyDescent="0.3">
      <c r="A210" s="1">
        <v>46118</v>
      </c>
      <c r="B210" t="s">
        <v>264</v>
      </c>
      <c r="C210">
        <v>1</v>
      </c>
      <c r="D210" t="s">
        <v>151</v>
      </c>
      <c r="E210" t="s">
        <v>378</v>
      </c>
      <c r="F210" t="s">
        <v>80</v>
      </c>
      <c r="G210">
        <v>28</v>
      </c>
      <c r="H210">
        <v>28</v>
      </c>
      <c r="I210">
        <v>793000</v>
      </c>
      <c r="J210">
        <v>0</v>
      </c>
      <c r="K210" t="s">
        <v>51</v>
      </c>
      <c r="L210" s="1">
        <v>46120</v>
      </c>
      <c r="M210" s="1">
        <v>46121</v>
      </c>
      <c r="N210" t="s">
        <v>106</v>
      </c>
      <c r="P210">
        <v>208</v>
      </c>
      <c r="Q210" t="s">
        <v>153</v>
      </c>
      <c r="R210" t="s">
        <v>75</v>
      </c>
      <c r="S210" t="s">
        <v>69</v>
      </c>
      <c r="T210" t="s">
        <v>56</v>
      </c>
      <c r="U210" t="s">
        <v>380</v>
      </c>
      <c r="V210" t="s">
        <v>101</v>
      </c>
      <c r="W210" t="s">
        <v>102</v>
      </c>
      <c r="X210">
        <v>650000</v>
      </c>
      <c r="Y210">
        <v>793000</v>
      </c>
      <c r="Z210" t="s">
        <v>56</v>
      </c>
      <c r="AA210" t="s">
        <v>129</v>
      </c>
      <c r="AB210" t="s">
        <v>88</v>
      </c>
      <c r="AC210" t="s">
        <v>83</v>
      </c>
      <c r="AD210" t="s">
        <v>130</v>
      </c>
      <c r="AE210">
        <v>22204000</v>
      </c>
      <c r="AF210">
        <v>18200000</v>
      </c>
      <c r="AG210">
        <v>4004000</v>
      </c>
      <c r="AH210" t="b">
        <v>1</v>
      </c>
      <c r="AI210" t="b">
        <v>1</v>
      </c>
      <c r="AJ210">
        <v>0</v>
      </c>
      <c r="AK210">
        <v>1</v>
      </c>
      <c r="AL210" t="b">
        <v>1</v>
      </c>
      <c r="AM210" t="b">
        <v>0</v>
      </c>
      <c r="AN210">
        <v>22204000</v>
      </c>
      <c r="AO210">
        <v>4004000</v>
      </c>
      <c r="AP210">
        <v>28</v>
      </c>
      <c r="AQ210">
        <v>28</v>
      </c>
      <c r="AR210">
        <v>0</v>
      </c>
      <c r="AS210">
        <v>1</v>
      </c>
      <c r="AT210">
        <v>0</v>
      </c>
      <c r="AU210">
        <v>4004000</v>
      </c>
    </row>
    <row r="211" spans="1:47" x14ac:dyDescent="0.3">
      <c r="A211" s="1">
        <v>46056</v>
      </c>
      <c r="B211" t="s">
        <v>444</v>
      </c>
      <c r="C211">
        <v>4</v>
      </c>
      <c r="D211" t="s">
        <v>171</v>
      </c>
      <c r="E211" t="s">
        <v>282</v>
      </c>
      <c r="F211" t="s">
        <v>50</v>
      </c>
      <c r="G211">
        <v>-7</v>
      </c>
      <c r="H211">
        <v>-7</v>
      </c>
      <c r="I211">
        <v>230000</v>
      </c>
      <c r="J211">
        <v>0.1</v>
      </c>
      <c r="K211" t="s">
        <v>216</v>
      </c>
      <c r="L211" s="1">
        <v>46058</v>
      </c>
      <c r="M211" s="1">
        <v>46059</v>
      </c>
      <c r="N211" t="s">
        <v>106</v>
      </c>
      <c r="P211">
        <v>209</v>
      </c>
      <c r="Q211" t="s">
        <v>172</v>
      </c>
      <c r="R211" t="s">
        <v>54</v>
      </c>
      <c r="S211" t="s">
        <v>84</v>
      </c>
      <c r="T211" t="s">
        <v>56</v>
      </c>
      <c r="U211" t="s">
        <v>283</v>
      </c>
      <c r="V211" t="s">
        <v>138</v>
      </c>
      <c r="W211" t="s">
        <v>139</v>
      </c>
      <c r="X211">
        <v>180000</v>
      </c>
      <c r="Y211">
        <v>230000</v>
      </c>
      <c r="Z211" t="s">
        <v>56</v>
      </c>
      <c r="AA211" t="s">
        <v>129</v>
      </c>
      <c r="AB211" t="s">
        <v>61</v>
      </c>
      <c r="AC211" t="s">
        <v>54</v>
      </c>
      <c r="AD211" t="s">
        <v>158</v>
      </c>
      <c r="AE211">
        <v>-1449000</v>
      </c>
      <c r="AF211">
        <v>-1260000</v>
      </c>
      <c r="AG211">
        <v>-189000</v>
      </c>
      <c r="AH211" t="b">
        <v>1</v>
      </c>
      <c r="AI211" t="b">
        <v>1</v>
      </c>
      <c r="AJ211">
        <v>0</v>
      </c>
      <c r="AK211">
        <v>1</v>
      </c>
      <c r="AL211" t="b">
        <v>0</v>
      </c>
      <c r="AM211" t="b">
        <v>1</v>
      </c>
      <c r="AN211">
        <v>-1449000</v>
      </c>
      <c r="AO211">
        <v>-189000</v>
      </c>
      <c r="AP211">
        <v>0</v>
      </c>
      <c r="AQ211">
        <v>0</v>
      </c>
      <c r="AR211">
        <v>0</v>
      </c>
      <c r="AS211">
        <v>1</v>
      </c>
      <c r="AT211">
        <v>-1449000</v>
      </c>
      <c r="AU211">
        <v>-189000</v>
      </c>
    </row>
    <row r="212" spans="1:47" x14ac:dyDescent="0.3">
      <c r="A212" s="1">
        <v>46081</v>
      </c>
      <c r="B212" t="s">
        <v>445</v>
      </c>
      <c r="C212">
        <v>1</v>
      </c>
      <c r="D212" t="s">
        <v>336</v>
      </c>
      <c r="E212" t="s">
        <v>236</v>
      </c>
      <c r="F212" t="s">
        <v>50</v>
      </c>
      <c r="G212">
        <v>24</v>
      </c>
      <c r="H212">
        <v>0</v>
      </c>
      <c r="I212">
        <v>448000</v>
      </c>
      <c r="J212">
        <v>0</v>
      </c>
      <c r="K212" t="s">
        <v>127</v>
      </c>
      <c r="L212" s="1">
        <v>46086</v>
      </c>
      <c r="N212" t="s">
        <v>81</v>
      </c>
      <c r="P212">
        <v>210</v>
      </c>
      <c r="Q212" t="s">
        <v>337</v>
      </c>
      <c r="R212" t="s">
        <v>75</v>
      </c>
      <c r="S212" t="s">
        <v>84</v>
      </c>
      <c r="T212" t="s">
        <v>56</v>
      </c>
      <c r="U212" t="s">
        <v>237</v>
      </c>
      <c r="V212" t="s">
        <v>138</v>
      </c>
      <c r="W212" t="s">
        <v>139</v>
      </c>
      <c r="X212">
        <v>350000</v>
      </c>
      <c r="Y212">
        <v>448000</v>
      </c>
      <c r="Z212" t="s">
        <v>134</v>
      </c>
      <c r="AA212" t="s">
        <v>73</v>
      </c>
      <c r="AB212" t="s">
        <v>61</v>
      </c>
      <c r="AC212" t="s">
        <v>54</v>
      </c>
      <c r="AD212" t="s">
        <v>158</v>
      </c>
      <c r="AE212">
        <v>0</v>
      </c>
      <c r="AG212">
        <v>0</v>
      </c>
      <c r="AH212" t="b">
        <v>1</v>
      </c>
      <c r="AI212" t="b">
        <v>0</v>
      </c>
      <c r="AL212" t="b">
        <v>0</v>
      </c>
      <c r="AM212" t="b">
        <v>0</v>
      </c>
      <c r="AN212">
        <v>0</v>
      </c>
      <c r="AO212">
        <v>0</v>
      </c>
      <c r="AP212">
        <v>0</v>
      </c>
      <c r="AQ212">
        <v>0</v>
      </c>
      <c r="AR212">
        <v>0</v>
      </c>
      <c r="AS212">
        <v>0</v>
      </c>
      <c r="AT212">
        <v>0</v>
      </c>
      <c r="AU212">
        <v>0</v>
      </c>
    </row>
    <row r="213" spans="1:47" x14ac:dyDescent="0.3">
      <c r="A213" s="1">
        <v>46187</v>
      </c>
      <c r="B213" t="s">
        <v>446</v>
      </c>
      <c r="C213">
        <v>1</v>
      </c>
      <c r="D213" t="s">
        <v>223</v>
      </c>
      <c r="E213" t="s">
        <v>282</v>
      </c>
      <c r="F213" t="s">
        <v>80</v>
      </c>
      <c r="G213">
        <v>29</v>
      </c>
      <c r="H213">
        <v>28</v>
      </c>
      <c r="I213">
        <v>230000</v>
      </c>
      <c r="J213">
        <v>0.1</v>
      </c>
      <c r="K213" t="s">
        <v>51</v>
      </c>
      <c r="L213" s="1">
        <v>46189</v>
      </c>
      <c r="M213" s="1">
        <v>46190</v>
      </c>
      <c r="N213" t="s">
        <v>67</v>
      </c>
      <c r="P213">
        <v>211</v>
      </c>
      <c r="Q213" t="s">
        <v>224</v>
      </c>
      <c r="R213" t="s">
        <v>83</v>
      </c>
      <c r="S213" t="s">
        <v>55</v>
      </c>
      <c r="T213" t="s">
        <v>56</v>
      </c>
      <c r="U213" t="s">
        <v>283</v>
      </c>
      <c r="V213" t="s">
        <v>138</v>
      </c>
      <c r="W213" t="s">
        <v>139</v>
      </c>
      <c r="X213">
        <v>180000</v>
      </c>
      <c r="Y213">
        <v>230000</v>
      </c>
      <c r="Z213" t="s">
        <v>56</v>
      </c>
      <c r="AA213" t="s">
        <v>129</v>
      </c>
      <c r="AB213" t="s">
        <v>88</v>
      </c>
      <c r="AC213" t="s">
        <v>83</v>
      </c>
      <c r="AD213" t="s">
        <v>118</v>
      </c>
      <c r="AE213">
        <v>5796000</v>
      </c>
      <c r="AF213">
        <v>5040000</v>
      </c>
      <c r="AG213">
        <v>756000</v>
      </c>
      <c r="AH213" t="b">
        <v>1</v>
      </c>
      <c r="AI213" t="b">
        <v>1</v>
      </c>
      <c r="AJ213">
        <v>0</v>
      </c>
      <c r="AK213">
        <v>1</v>
      </c>
      <c r="AL213" t="b">
        <v>1</v>
      </c>
      <c r="AM213" t="b">
        <v>0</v>
      </c>
      <c r="AN213">
        <v>5796000</v>
      </c>
      <c r="AO213">
        <v>756000</v>
      </c>
      <c r="AP213">
        <v>28</v>
      </c>
      <c r="AQ213">
        <v>29</v>
      </c>
      <c r="AR213">
        <v>0</v>
      </c>
      <c r="AS213">
        <v>1</v>
      </c>
      <c r="AT213">
        <v>0</v>
      </c>
      <c r="AU213">
        <v>756000</v>
      </c>
    </row>
    <row r="214" spans="1:47" x14ac:dyDescent="0.3">
      <c r="A214" s="1">
        <v>46078</v>
      </c>
      <c r="B214" t="s">
        <v>447</v>
      </c>
      <c r="C214">
        <v>1</v>
      </c>
      <c r="D214" t="s">
        <v>277</v>
      </c>
      <c r="E214" t="s">
        <v>230</v>
      </c>
      <c r="F214" t="s">
        <v>66</v>
      </c>
      <c r="G214">
        <v>-6</v>
      </c>
      <c r="H214">
        <v>-6</v>
      </c>
      <c r="I214">
        <v>2196000</v>
      </c>
      <c r="J214">
        <v>0</v>
      </c>
      <c r="K214" t="s">
        <v>216</v>
      </c>
      <c r="L214" s="1">
        <v>46080</v>
      </c>
      <c r="M214" s="1">
        <v>46080</v>
      </c>
      <c r="N214" t="s">
        <v>106</v>
      </c>
      <c r="P214">
        <v>212</v>
      </c>
      <c r="Q214" t="s">
        <v>278</v>
      </c>
      <c r="R214" t="s">
        <v>75</v>
      </c>
      <c r="S214" t="s">
        <v>123</v>
      </c>
      <c r="T214" t="s">
        <v>218</v>
      </c>
      <c r="U214" t="s">
        <v>232</v>
      </c>
      <c r="V214" t="s">
        <v>101</v>
      </c>
      <c r="W214" t="s">
        <v>102</v>
      </c>
      <c r="X214">
        <v>1800000</v>
      </c>
      <c r="Y214">
        <v>2196000</v>
      </c>
      <c r="Z214" t="s">
        <v>56</v>
      </c>
      <c r="AA214" t="s">
        <v>129</v>
      </c>
      <c r="AB214" t="s">
        <v>74</v>
      </c>
      <c r="AC214" t="s">
        <v>75</v>
      </c>
      <c r="AD214" t="s">
        <v>158</v>
      </c>
      <c r="AE214">
        <v>-13176000</v>
      </c>
      <c r="AF214">
        <v>-10800000</v>
      </c>
      <c r="AG214">
        <v>-2376000</v>
      </c>
      <c r="AH214" t="b">
        <v>1</v>
      </c>
      <c r="AI214" t="b">
        <v>1</v>
      </c>
      <c r="AJ214">
        <v>1</v>
      </c>
      <c r="AK214">
        <v>0</v>
      </c>
      <c r="AL214" t="b">
        <v>0</v>
      </c>
      <c r="AM214" t="b">
        <v>1</v>
      </c>
      <c r="AN214">
        <v>-13176000</v>
      </c>
      <c r="AO214">
        <v>-2376000</v>
      </c>
      <c r="AP214">
        <v>0</v>
      </c>
      <c r="AQ214">
        <v>0</v>
      </c>
      <c r="AR214">
        <v>1</v>
      </c>
      <c r="AS214">
        <v>1</v>
      </c>
      <c r="AT214">
        <v>-13176000</v>
      </c>
      <c r="AU214">
        <v>-2376000</v>
      </c>
    </row>
    <row r="215" spans="1:47" x14ac:dyDescent="0.3">
      <c r="A215" s="1">
        <v>46086</v>
      </c>
      <c r="B215" t="s">
        <v>448</v>
      </c>
      <c r="C215">
        <v>3</v>
      </c>
      <c r="D215" t="s">
        <v>333</v>
      </c>
      <c r="E215" t="s">
        <v>378</v>
      </c>
      <c r="F215" t="s">
        <v>80</v>
      </c>
      <c r="G215">
        <v>34</v>
      </c>
      <c r="H215">
        <v>33</v>
      </c>
      <c r="I215">
        <v>793000</v>
      </c>
      <c r="J215">
        <v>0.05</v>
      </c>
      <c r="K215" t="s">
        <v>51</v>
      </c>
      <c r="L215" s="1">
        <v>46089</v>
      </c>
      <c r="M215" s="1">
        <v>46092</v>
      </c>
      <c r="N215" t="s">
        <v>106</v>
      </c>
      <c r="P215">
        <v>213</v>
      </c>
      <c r="Q215" t="s">
        <v>334</v>
      </c>
      <c r="R215" t="s">
        <v>75</v>
      </c>
      <c r="S215" t="s">
        <v>123</v>
      </c>
      <c r="T215" t="s">
        <v>56</v>
      </c>
      <c r="U215" t="s">
        <v>380</v>
      </c>
      <c r="V215" t="s">
        <v>101</v>
      </c>
      <c r="W215" t="s">
        <v>102</v>
      </c>
      <c r="X215">
        <v>650000</v>
      </c>
      <c r="Y215">
        <v>793000</v>
      </c>
      <c r="Z215" t="s">
        <v>56</v>
      </c>
      <c r="AA215" t="s">
        <v>129</v>
      </c>
      <c r="AB215" t="s">
        <v>88</v>
      </c>
      <c r="AC215" t="s">
        <v>83</v>
      </c>
      <c r="AD215" t="s">
        <v>62</v>
      </c>
      <c r="AE215">
        <v>24860550</v>
      </c>
      <c r="AF215">
        <v>21450000</v>
      </c>
      <c r="AG215">
        <v>3410550</v>
      </c>
      <c r="AH215" t="b">
        <v>1</v>
      </c>
      <c r="AI215" t="b">
        <v>1</v>
      </c>
      <c r="AJ215">
        <v>0</v>
      </c>
      <c r="AK215">
        <v>3</v>
      </c>
      <c r="AL215" t="b">
        <v>1</v>
      </c>
      <c r="AM215" t="b">
        <v>0</v>
      </c>
      <c r="AN215">
        <v>24860550</v>
      </c>
      <c r="AO215">
        <v>3410550</v>
      </c>
      <c r="AP215">
        <v>33</v>
      </c>
      <c r="AQ215">
        <v>34</v>
      </c>
      <c r="AR215">
        <v>0</v>
      </c>
      <c r="AS215">
        <v>1</v>
      </c>
      <c r="AT215">
        <v>0</v>
      </c>
      <c r="AU215">
        <v>3410550</v>
      </c>
    </row>
    <row r="216" spans="1:47" x14ac:dyDescent="0.3">
      <c r="A216" s="1">
        <v>46084</v>
      </c>
      <c r="B216" t="s">
        <v>449</v>
      </c>
      <c r="C216">
        <v>4</v>
      </c>
      <c r="D216" t="s">
        <v>78</v>
      </c>
      <c r="E216" t="s">
        <v>152</v>
      </c>
      <c r="F216" t="s">
        <v>66</v>
      </c>
      <c r="G216">
        <v>5</v>
      </c>
      <c r="H216">
        <v>5</v>
      </c>
      <c r="I216">
        <v>845000</v>
      </c>
      <c r="J216">
        <v>0.02</v>
      </c>
      <c r="K216" t="s">
        <v>51</v>
      </c>
      <c r="L216" s="1">
        <v>46086</v>
      </c>
      <c r="M216" s="1">
        <v>46087</v>
      </c>
      <c r="N216" t="s">
        <v>67</v>
      </c>
      <c r="P216">
        <v>214</v>
      </c>
      <c r="Q216" t="s">
        <v>82</v>
      </c>
      <c r="R216" t="s">
        <v>83</v>
      </c>
      <c r="S216" t="s">
        <v>84</v>
      </c>
      <c r="T216" t="s">
        <v>56</v>
      </c>
      <c r="U216" t="s">
        <v>154</v>
      </c>
      <c r="V216" t="s">
        <v>58</v>
      </c>
      <c r="W216" t="s">
        <v>59</v>
      </c>
      <c r="X216">
        <v>650000</v>
      </c>
      <c r="Y216">
        <v>845000</v>
      </c>
      <c r="Z216" t="s">
        <v>56</v>
      </c>
      <c r="AA216" t="s">
        <v>73</v>
      </c>
      <c r="AB216" t="s">
        <v>74</v>
      </c>
      <c r="AC216" t="s">
        <v>75</v>
      </c>
      <c r="AD216" t="s">
        <v>62</v>
      </c>
      <c r="AE216">
        <v>4140500</v>
      </c>
      <c r="AF216">
        <v>3250000</v>
      </c>
      <c r="AG216">
        <v>890500</v>
      </c>
      <c r="AH216" t="b">
        <v>1</v>
      </c>
      <c r="AI216" t="b">
        <v>1</v>
      </c>
      <c r="AJ216">
        <v>0</v>
      </c>
      <c r="AK216">
        <v>1</v>
      </c>
      <c r="AL216" t="b">
        <v>1</v>
      </c>
      <c r="AM216" t="b">
        <v>0</v>
      </c>
      <c r="AN216">
        <v>4140500</v>
      </c>
      <c r="AO216">
        <v>890500</v>
      </c>
      <c r="AP216">
        <v>5</v>
      </c>
      <c r="AQ216">
        <v>5</v>
      </c>
      <c r="AR216">
        <v>0</v>
      </c>
      <c r="AS216">
        <v>1</v>
      </c>
      <c r="AT216">
        <v>0</v>
      </c>
      <c r="AU216">
        <v>890500</v>
      </c>
    </row>
    <row r="217" spans="1:47" x14ac:dyDescent="0.3">
      <c r="A217" s="1">
        <v>46116</v>
      </c>
      <c r="B217" t="s">
        <v>450</v>
      </c>
      <c r="C217">
        <v>2</v>
      </c>
      <c r="D217" t="s">
        <v>215</v>
      </c>
      <c r="E217" t="s">
        <v>79</v>
      </c>
      <c r="F217" t="s">
        <v>114</v>
      </c>
      <c r="G217">
        <v>5</v>
      </c>
      <c r="H217">
        <v>5</v>
      </c>
      <c r="I217">
        <v>150000</v>
      </c>
      <c r="J217">
        <v>0</v>
      </c>
      <c r="K217" t="s">
        <v>51</v>
      </c>
      <c r="L217" s="1">
        <v>46121</v>
      </c>
      <c r="M217" s="1">
        <v>46123</v>
      </c>
      <c r="N217" t="s">
        <v>52</v>
      </c>
      <c r="P217">
        <v>215</v>
      </c>
      <c r="Q217" t="s">
        <v>217</v>
      </c>
      <c r="R217" t="s">
        <v>54</v>
      </c>
      <c r="S217" t="s">
        <v>69</v>
      </c>
      <c r="T217" t="s">
        <v>218</v>
      </c>
      <c r="U217" t="s">
        <v>85</v>
      </c>
      <c r="V217" t="s">
        <v>86</v>
      </c>
      <c r="W217" t="s">
        <v>87</v>
      </c>
      <c r="X217">
        <v>120000</v>
      </c>
      <c r="Y217">
        <v>150000</v>
      </c>
      <c r="Z217" t="s">
        <v>56</v>
      </c>
      <c r="AA217" t="s">
        <v>60</v>
      </c>
      <c r="AB217" t="s">
        <v>117</v>
      </c>
      <c r="AC217" t="s">
        <v>83</v>
      </c>
      <c r="AD217" t="s">
        <v>130</v>
      </c>
      <c r="AE217">
        <v>750000</v>
      </c>
      <c r="AF217">
        <v>600000</v>
      </c>
      <c r="AG217">
        <v>150000</v>
      </c>
      <c r="AH217" t="b">
        <v>1</v>
      </c>
      <c r="AI217" t="b">
        <v>1</v>
      </c>
      <c r="AJ217">
        <v>0</v>
      </c>
      <c r="AK217">
        <v>2</v>
      </c>
      <c r="AL217" t="b">
        <v>1</v>
      </c>
      <c r="AM217" t="b">
        <v>0</v>
      </c>
      <c r="AN217">
        <v>750000</v>
      </c>
      <c r="AO217">
        <v>150000</v>
      </c>
      <c r="AP217">
        <v>5</v>
      </c>
      <c r="AQ217">
        <v>5</v>
      </c>
      <c r="AR217">
        <v>0</v>
      </c>
      <c r="AS217">
        <v>1</v>
      </c>
      <c r="AT217">
        <v>0</v>
      </c>
      <c r="AU217">
        <v>150000</v>
      </c>
    </row>
    <row r="218" spans="1:47" x14ac:dyDescent="0.3">
      <c r="A218" s="1">
        <v>46183</v>
      </c>
      <c r="B218" t="s">
        <v>451</v>
      </c>
      <c r="C218">
        <v>4</v>
      </c>
      <c r="D218" t="s">
        <v>174</v>
      </c>
      <c r="E218" t="s">
        <v>259</v>
      </c>
      <c r="F218" t="s">
        <v>114</v>
      </c>
      <c r="G218">
        <v>35</v>
      </c>
      <c r="H218">
        <v>35</v>
      </c>
      <c r="I218">
        <v>146000</v>
      </c>
      <c r="J218">
        <v>0</v>
      </c>
      <c r="K218" t="s">
        <v>51</v>
      </c>
      <c r="L218" s="1">
        <v>46186</v>
      </c>
      <c r="M218" s="1">
        <v>46185</v>
      </c>
      <c r="N218" t="s">
        <v>81</v>
      </c>
      <c r="P218">
        <v>216</v>
      </c>
      <c r="Q218" t="s">
        <v>176</v>
      </c>
      <c r="R218" t="s">
        <v>83</v>
      </c>
      <c r="S218" t="s">
        <v>69</v>
      </c>
      <c r="T218" t="s">
        <v>56</v>
      </c>
      <c r="U218" t="s">
        <v>260</v>
      </c>
      <c r="V218" t="s">
        <v>101</v>
      </c>
      <c r="W218" t="s">
        <v>102</v>
      </c>
      <c r="X218">
        <v>120000</v>
      </c>
      <c r="Y218">
        <v>146000</v>
      </c>
      <c r="Z218" t="s">
        <v>56</v>
      </c>
      <c r="AA218" t="s">
        <v>129</v>
      </c>
      <c r="AB218" t="s">
        <v>117</v>
      </c>
      <c r="AC218" t="s">
        <v>83</v>
      </c>
      <c r="AD218" t="s">
        <v>118</v>
      </c>
      <c r="AE218">
        <v>5110000</v>
      </c>
      <c r="AF218">
        <v>4200000</v>
      </c>
      <c r="AG218">
        <v>910000</v>
      </c>
      <c r="AH218" t="b">
        <v>1</v>
      </c>
      <c r="AI218" t="b">
        <v>1</v>
      </c>
      <c r="AJ218">
        <v>1</v>
      </c>
      <c r="AK218">
        <v>-1</v>
      </c>
      <c r="AL218" t="b">
        <v>1</v>
      </c>
      <c r="AM218" t="b">
        <v>0</v>
      </c>
      <c r="AN218">
        <v>5110000</v>
      </c>
      <c r="AO218">
        <v>910000</v>
      </c>
      <c r="AP218">
        <v>35</v>
      </c>
      <c r="AQ218">
        <v>35</v>
      </c>
      <c r="AR218">
        <v>1</v>
      </c>
      <c r="AS218">
        <v>1</v>
      </c>
      <c r="AT218">
        <v>0</v>
      </c>
      <c r="AU218">
        <v>910000</v>
      </c>
    </row>
    <row r="219" spans="1:47" x14ac:dyDescent="0.3">
      <c r="A219" s="1">
        <v>46062</v>
      </c>
      <c r="B219" t="s">
        <v>452</v>
      </c>
      <c r="C219">
        <v>3</v>
      </c>
      <c r="D219" t="s">
        <v>151</v>
      </c>
      <c r="E219" t="s">
        <v>79</v>
      </c>
      <c r="F219" t="s">
        <v>50</v>
      </c>
      <c r="G219">
        <v>28</v>
      </c>
      <c r="H219">
        <v>27</v>
      </c>
      <c r="I219">
        <v>150000</v>
      </c>
      <c r="J219">
        <v>0</v>
      </c>
      <c r="K219" t="s">
        <v>98</v>
      </c>
      <c r="L219" s="1">
        <v>46063</v>
      </c>
      <c r="N219" t="s">
        <v>81</v>
      </c>
      <c r="P219">
        <v>217</v>
      </c>
      <c r="Q219" t="s">
        <v>153</v>
      </c>
      <c r="R219" t="s">
        <v>75</v>
      </c>
      <c r="S219" t="s">
        <v>69</v>
      </c>
      <c r="T219" t="s">
        <v>56</v>
      </c>
      <c r="U219" t="s">
        <v>85</v>
      </c>
      <c r="V219" t="s">
        <v>86</v>
      </c>
      <c r="W219" t="s">
        <v>87</v>
      </c>
      <c r="X219">
        <v>120000</v>
      </c>
      <c r="Y219">
        <v>150000</v>
      </c>
      <c r="Z219" t="s">
        <v>56</v>
      </c>
      <c r="AA219" t="s">
        <v>60</v>
      </c>
      <c r="AB219" t="s">
        <v>61</v>
      </c>
      <c r="AC219" t="s">
        <v>54</v>
      </c>
      <c r="AD219" t="s">
        <v>158</v>
      </c>
      <c r="AE219">
        <v>4050000</v>
      </c>
      <c r="AF219">
        <v>3240000</v>
      </c>
      <c r="AG219">
        <v>810000</v>
      </c>
      <c r="AH219" t="b">
        <v>1</v>
      </c>
      <c r="AI219" t="b">
        <v>0</v>
      </c>
      <c r="AL219" t="b">
        <v>1</v>
      </c>
      <c r="AM219" t="b">
        <v>0</v>
      </c>
      <c r="AN219">
        <v>4050000</v>
      </c>
      <c r="AO219">
        <v>810000</v>
      </c>
      <c r="AP219">
        <v>27</v>
      </c>
      <c r="AQ219">
        <v>28</v>
      </c>
      <c r="AR219">
        <v>0</v>
      </c>
      <c r="AS219">
        <v>0</v>
      </c>
      <c r="AT219">
        <v>0</v>
      </c>
      <c r="AU219">
        <v>810000</v>
      </c>
    </row>
    <row r="220" spans="1:47" x14ac:dyDescent="0.3">
      <c r="A220" s="1">
        <v>46045</v>
      </c>
      <c r="B220" t="s">
        <v>453</v>
      </c>
      <c r="C220">
        <v>1</v>
      </c>
      <c r="D220" t="s">
        <v>182</v>
      </c>
      <c r="E220" t="s">
        <v>220</v>
      </c>
      <c r="F220" t="s">
        <v>50</v>
      </c>
      <c r="G220">
        <v>12</v>
      </c>
      <c r="H220">
        <v>12</v>
      </c>
      <c r="I220">
        <v>234000</v>
      </c>
      <c r="J220">
        <v>0.1</v>
      </c>
      <c r="K220" t="s">
        <v>51</v>
      </c>
      <c r="L220" s="1">
        <v>46046</v>
      </c>
      <c r="M220" s="1">
        <v>46046</v>
      </c>
      <c r="N220" t="s">
        <v>67</v>
      </c>
      <c r="P220">
        <v>218</v>
      </c>
      <c r="Q220" t="s">
        <v>183</v>
      </c>
      <c r="R220" t="s">
        <v>75</v>
      </c>
      <c r="S220" t="s">
        <v>69</v>
      </c>
      <c r="T220" t="s">
        <v>56</v>
      </c>
      <c r="U220" t="s">
        <v>221</v>
      </c>
      <c r="V220" t="s">
        <v>58</v>
      </c>
      <c r="W220" t="s">
        <v>59</v>
      </c>
      <c r="X220">
        <v>180000</v>
      </c>
      <c r="Y220">
        <v>234000</v>
      </c>
      <c r="Z220" t="s">
        <v>56</v>
      </c>
      <c r="AA220" t="s">
        <v>60</v>
      </c>
      <c r="AB220" t="s">
        <v>61</v>
      </c>
      <c r="AC220" t="s">
        <v>54</v>
      </c>
      <c r="AD220" t="s">
        <v>94</v>
      </c>
      <c r="AE220">
        <v>2527200</v>
      </c>
      <c r="AF220">
        <v>2160000</v>
      </c>
      <c r="AG220">
        <v>367200</v>
      </c>
      <c r="AH220" t="b">
        <v>1</v>
      </c>
      <c r="AI220" t="b">
        <v>1</v>
      </c>
      <c r="AJ220">
        <v>1</v>
      </c>
      <c r="AK220">
        <v>0</v>
      </c>
      <c r="AL220" t="b">
        <v>1</v>
      </c>
      <c r="AM220" t="b">
        <v>0</v>
      </c>
      <c r="AN220">
        <v>2527200</v>
      </c>
      <c r="AO220">
        <v>367200</v>
      </c>
      <c r="AP220">
        <v>12</v>
      </c>
      <c r="AQ220">
        <v>12</v>
      </c>
      <c r="AR220">
        <v>1</v>
      </c>
      <c r="AS220">
        <v>1</v>
      </c>
      <c r="AT220">
        <v>0</v>
      </c>
      <c r="AU220">
        <v>367200</v>
      </c>
    </row>
    <row r="221" spans="1:47" x14ac:dyDescent="0.3">
      <c r="A221" s="1">
        <v>46111</v>
      </c>
      <c r="B221" t="s">
        <v>454</v>
      </c>
      <c r="C221">
        <v>3</v>
      </c>
      <c r="D221" t="s">
        <v>344</v>
      </c>
      <c r="E221" t="s">
        <v>242</v>
      </c>
      <c r="F221" t="s">
        <v>80</v>
      </c>
      <c r="G221">
        <v>18</v>
      </c>
      <c r="H221">
        <v>3</v>
      </c>
      <c r="I221">
        <v>1620000</v>
      </c>
      <c r="J221">
        <v>0</v>
      </c>
      <c r="K221" t="s">
        <v>98</v>
      </c>
      <c r="L221" s="1">
        <v>46114</v>
      </c>
      <c r="N221" t="s">
        <v>67</v>
      </c>
      <c r="P221">
        <v>219</v>
      </c>
      <c r="Q221" t="s">
        <v>345</v>
      </c>
      <c r="R221" t="s">
        <v>54</v>
      </c>
      <c r="S221" t="s">
        <v>84</v>
      </c>
      <c r="T221" t="s">
        <v>56</v>
      </c>
      <c r="U221" t="s">
        <v>243</v>
      </c>
      <c r="V221" t="s">
        <v>71</v>
      </c>
      <c r="W221" t="s">
        <v>72</v>
      </c>
      <c r="X221">
        <v>1200000</v>
      </c>
      <c r="Y221">
        <v>1620000</v>
      </c>
      <c r="Z221" t="s">
        <v>56</v>
      </c>
      <c r="AA221" t="s">
        <v>73</v>
      </c>
      <c r="AB221" t="s">
        <v>88</v>
      </c>
      <c r="AC221" t="s">
        <v>83</v>
      </c>
      <c r="AD221" t="s">
        <v>62</v>
      </c>
      <c r="AE221">
        <v>4860000</v>
      </c>
      <c r="AF221">
        <v>3600000</v>
      </c>
      <c r="AG221">
        <v>1260000</v>
      </c>
      <c r="AH221" t="b">
        <v>1</v>
      </c>
      <c r="AI221" t="b">
        <v>0</v>
      </c>
      <c r="AL221" t="b">
        <v>1</v>
      </c>
      <c r="AM221" t="b">
        <v>0</v>
      </c>
      <c r="AN221">
        <v>4860000</v>
      </c>
      <c r="AO221">
        <v>1260000</v>
      </c>
      <c r="AP221">
        <v>3</v>
      </c>
      <c r="AQ221">
        <v>18</v>
      </c>
      <c r="AR221">
        <v>0</v>
      </c>
      <c r="AS221">
        <v>0</v>
      </c>
      <c r="AT221">
        <v>0</v>
      </c>
      <c r="AU221">
        <v>1260000</v>
      </c>
    </row>
    <row r="222" spans="1:47" x14ac:dyDescent="0.3">
      <c r="A222" s="1">
        <v>46092</v>
      </c>
      <c r="B222" t="s">
        <v>455</v>
      </c>
      <c r="C222">
        <v>1</v>
      </c>
      <c r="D222" t="s">
        <v>239</v>
      </c>
      <c r="E222" t="s">
        <v>79</v>
      </c>
      <c r="F222" t="s">
        <v>66</v>
      </c>
      <c r="G222">
        <v>30</v>
      </c>
      <c r="H222">
        <v>30</v>
      </c>
      <c r="I222">
        <v>150000</v>
      </c>
      <c r="J222">
        <v>0.08</v>
      </c>
      <c r="K222" t="s">
        <v>51</v>
      </c>
      <c r="L222" s="1">
        <v>46094</v>
      </c>
      <c r="M222" s="1">
        <v>46094</v>
      </c>
      <c r="N222" t="s">
        <v>81</v>
      </c>
      <c r="P222">
        <v>220</v>
      </c>
      <c r="Q222" t="s">
        <v>240</v>
      </c>
      <c r="R222" t="s">
        <v>75</v>
      </c>
      <c r="S222" t="s">
        <v>55</v>
      </c>
      <c r="T222" t="s">
        <v>56</v>
      </c>
      <c r="U222" t="s">
        <v>85</v>
      </c>
      <c r="V222" t="s">
        <v>86</v>
      </c>
      <c r="W222" t="s">
        <v>87</v>
      </c>
      <c r="X222">
        <v>120000</v>
      </c>
      <c r="Y222">
        <v>150000</v>
      </c>
      <c r="Z222" t="s">
        <v>56</v>
      </c>
      <c r="AA222" t="s">
        <v>60</v>
      </c>
      <c r="AB222" t="s">
        <v>74</v>
      </c>
      <c r="AC222" t="s">
        <v>75</v>
      </c>
      <c r="AD222" t="s">
        <v>62</v>
      </c>
      <c r="AE222">
        <v>4140000</v>
      </c>
      <c r="AF222">
        <v>3600000</v>
      </c>
      <c r="AG222">
        <v>540000</v>
      </c>
      <c r="AH222" t="b">
        <v>1</v>
      </c>
      <c r="AI222" t="b">
        <v>1</v>
      </c>
      <c r="AJ222">
        <v>1</v>
      </c>
      <c r="AK222">
        <v>0</v>
      </c>
      <c r="AL222" t="b">
        <v>1</v>
      </c>
      <c r="AM222" t="b">
        <v>0</v>
      </c>
      <c r="AN222">
        <v>4140000</v>
      </c>
      <c r="AO222">
        <v>540000</v>
      </c>
      <c r="AP222">
        <v>30</v>
      </c>
      <c r="AQ222">
        <v>30</v>
      </c>
      <c r="AR222">
        <v>1</v>
      </c>
      <c r="AS222">
        <v>1</v>
      </c>
      <c r="AT222">
        <v>0</v>
      </c>
      <c r="AU222">
        <v>540000</v>
      </c>
    </row>
    <row r="223" spans="1:47" x14ac:dyDescent="0.3">
      <c r="A223" s="1">
        <v>46088</v>
      </c>
      <c r="B223" t="s">
        <v>456</v>
      </c>
      <c r="C223">
        <v>1</v>
      </c>
      <c r="D223" t="s">
        <v>265</v>
      </c>
      <c r="E223" t="s">
        <v>142</v>
      </c>
      <c r="F223" t="s">
        <v>114</v>
      </c>
      <c r="G223">
        <v>3</v>
      </c>
      <c r="H223">
        <v>0</v>
      </c>
      <c r="I223">
        <v>413000</v>
      </c>
      <c r="J223">
        <v>0</v>
      </c>
      <c r="K223" t="s">
        <v>127</v>
      </c>
      <c r="L223" s="1">
        <v>46090</v>
      </c>
      <c r="N223" t="s">
        <v>106</v>
      </c>
      <c r="O223" t="s">
        <v>266</v>
      </c>
      <c r="P223">
        <v>221</v>
      </c>
      <c r="R223" t="s">
        <v>267</v>
      </c>
      <c r="U223" t="s">
        <v>144</v>
      </c>
      <c r="V223" t="s">
        <v>109</v>
      </c>
      <c r="W223" t="s">
        <v>110</v>
      </c>
      <c r="X223">
        <v>350000</v>
      </c>
      <c r="Y223">
        <v>413000</v>
      </c>
      <c r="Z223" t="s">
        <v>56</v>
      </c>
      <c r="AA223" t="s">
        <v>129</v>
      </c>
      <c r="AB223" t="s">
        <v>117</v>
      </c>
      <c r="AC223" t="s">
        <v>83</v>
      </c>
      <c r="AD223" t="s">
        <v>62</v>
      </c>
      <c r="AE223">
        <v>0</v>
      </c>
      <c r="AG223">
        <v>0</v>
      </c>
      <c r="AH223" t="b">
        <v>1</v>
      </c>
      <c r="AI223" t="b">
        <v>0</v>
      </c>
      <c r="AL223" t="b">
        <v>0</v>
      </c>
      <c r="AM223" t="b">
        <v>0</v>
      </c>
      <c r="AN223">
        <v>0</v>
      </c>
      <c r="AO223">
        <v>0</v>
      </c>
      <c r="AP223">
        <v>0</v>
      </c>
      <c r="AQ223">
        <v>0</v>
      </c>
      <c r="AR223">
        <v>0</v>
      </c>
      <c r="AS223">
        <v>0</v>
      </c>
      <c r="AT223">
        <v>0</v>
      </c>
      <c r="AU223">
        <v>0</v>
      </c>
    </row>
    <row r="224" spans="1:47" x14ac:dyDescent="0.3">
      <c r="A224" s="1">
        <v>46143</v>
      </c>
      <c r="B224" t="s">
        <v>281</v>
      </c>
      <c r="C224">
        <v>4</v>
      </c>
      <c r="D224" t="s">
        <v>250</v>
      </c>
      <c r="E224" t="s">
        <v>197</v>
      </c>
      <c r="F224" t="s">
        <v>114</v>
      </c>
      <c r="G224">
        <v>27</v>
      </c>
      <c r="H224">
        <v>27</v>
      </c>
      <c r="I224">
        <v>1215000</v>
      </c>
      <c r="J224">
        <v>0.1</v>
      </c>
      <c r="K224" t="s">
        <v>51</v>
      </c>
      <c r="L224" s="1">
        <v>46146</v>
      </c>
      <c r="M224" s="1">
        <v>46146</v>
      </c>
      <c r="N224" t="s">
        <v>106</v>
      </c>
      <c r="P224">
        <v>222</v>
      </c>
      <c r="Q224" t="s">
        <v>251</v>
      </c>
      <c r="R224" t="s">
        <v>54</v>
      </c>
      <c r="S224" t="s">
        <v>123</v>
      </c>
      <c r="T224" t="s">
        <v>56</v>
      </c>
      <c r="U224" t="s">
        <v>198</v>
      </c>
      <c r="V224" t="s">
        <v>71</v>
      </c>
      <c r="W224" t="s">
        <v>72</v>
      </c>
      <c r="X224">
        <v>900000</v>
      </c>
      <c r="Y224">
        <v>1215000</v>
      </c>
      <c r="Z224" t="s">
        <v>56</v>
      </c>
      <c r="AA224" t="s">
        <v>129</v>
      </c>
      <c r="AB224" t="s">
        <v>117</v>
      </c>
      <c r="AC224" t="s">
        <v>83</v>
      </c>
      <c r="AD224" t="s">
        <v>76</v>
      </c>
      <c r="AE224">
        <v>29524500</v>
      </c>
      <c r="AF224">
        <v>24300000</v>
      </c>
      <c r="AG224">
        <v>5224500</v>
      </c>
      <c r="AH224" t="b">
        <v>1</v>
      </c>
      <c r="AI224" t="b">
        <v>1</v>
      </c>
      <c r="AJ224">
        <v>1</v>
      </c>
      <c r="AK224">
        <v>0</v>
      </c>
      <c r="AL224" t="b">
        <v>1</v>
      </c>
      <c r="AM224" t="b">
        <v>0</v>
      </c>
      <c r="AN224">
        <v>29524500</v>
      </c>
      <c r="AO224">
        <v>5224500</v>
      </c>
      <c r="AP224">
        <v>27</v>
      </c>
      <c r="AQ224">
        <v>27</v>
      </c>
      <c r="AR224">
        <v>1</v>
      </c>
      <c r="AS224">
        <v>1</v>
      </c>
      <c r="AT224">
        <v>0</v>
      </c>
      <c r="AU224">
        <v>5224500</v>
      </c>
    </row>
    <row r="225" spans="1:47" x14ac:dyDescent="0.3">
      <c r="A225" s="1">
        <v>46169</v>
      </c>
      <c r="B225" t="s">
        <v>457</v>
      </c>
      <c r="C225">
        <v>1</v>
      </c>
      <c r="D225" t="s">
        <v>254</v>
      </c>
      <c r="E225" t="s">
        <v>220</v>
      </c>
      <c r="F225" t="s">
        <v>80</v>
      </c>
      <c r="G225">
        <v>15</v>
      </c>
      <c r="H225">
        <v>0</v>
      </c>
      <c r="I225">
        <v>234000</v>
      </c>
      <c r="J225">
        <v>0.05</v>
      </c>
      <c r="K225" t="s">
        <v>98</v>
      </c>
      <c r="L225" s="1">
        <v>46170</v>
      </c>
      <c r="N225" t="s">
        <v>67</v>
      </c>
      <c r="P225">
        <v>223</v>
      </c>
      <c r="Q225" t="s">
        <v>256</v>
      </c>
      <c r="R225" t="s">
        <v>83</v>
      </c>
      <c r="S225" t="s">
        <v>69</v>
      </c>
      <c r="T225" t="s">
        <v>56</v>
      </c>
      <c r="U225" t="s">
        <v>221</v>
      </c>
      <c r="V225" t="s">
        <v>58</v>
      </c>
      <c r="W225" t="s">
        <v>59</v>
      </c>
      <c r="X225">
        <v>180000</v>
      </c>
      <c r="Y225">
        <v>234000</v>
      </c>
      <c r="Z225" t="s">
        <v>56</v>
      </c>
      <c r="AA225" t="s">
        <v>60</v>
      </c>
      <c r="AB225" t="s">
        <v>88</v>
      </c>
      <c r="AC225" t="s">
        <v>83</v>
      </c>
      <c r="AD225" t="s">
        <v>76</v>
      </c>
      <c r="AE225">
        <v>0</v>
      </c>
      <c r="AF225">
        <v>0</v>
      </c>
      <c r="AG225">
        <v>0</v>
      </c>
      <c r="AH225" t="b">
        <v>1</v>
      </c>
      <c r="AI225" t="b">
        <v>0</v>
      </c>
      <c r="AL225" t="b">
        <v>1</v>
      </c>
      <c r="AM225" t="b">
        <v>0</v>
      </c>
      <c r="AN225">
        <v>0</v>
      </c>
      <c r="AO225">
        <v>0</v>
      </c>
      <c r="AP225">
        <v>0</v>
      </c>
      <c r="AQ225">
        <v>15</v>
      </c>
      <c r="AR225">
        <v>0</v>
      </c>
      <c r="AS225">
        <v>0</v>
      </c>
      <c r="AT225">
        <v>0</v>
      </c>
      <c r="AU225">
        <v>0</v>
      </c>
    </row>
    <row r="226" spans="1:47" x14ac:dyDescent="0.3">
      <c r="A226" s="1">
        <v>46095</v>
      </c>
      <c r="B226" t="s">
        <v>458</v>
      </c>
      <c r="C226">
        <v>3</v>
      </c>
      <c r="D226" t="s">
        <v>200</v>
      </c>
      <c r="E226" t="s">
        <v>156</v>
      </c>
      <c r="F226" t="s">
        <v>66</v>
      </c>
      <c r="G226">
        <v>1</v>
      </c>
      <c r="H226">
        <v>0</v>
      </c>
      <c r="I226">
        <v>243000</v>
      </c>
      <c r="J226">
        <v>0.02</v>
      </c>
      <c r="K226" t="s">
        <v>51</v>
      </c>
      <c r="L226" s="1">
        <v>46105</v>
      </c>
      <c r="M226" s="1">
        <v>46107</v>
      </c>
      <c r="N226" t="s">
        <v>81</v>
      </c>
      <c r="P226">
        <v>224</v>
      </c>
      <c r="Q226" t="s">
        <v>201</v>
      </c>
      <c r="R226" t="s">
        <v>75</v>
      </c>
      <c r="S226" t="s">
        <v>55</v>
      </c>
      <c r="T226" t="s">
        <v>56</v>
      </c>
      <c r="U226" t="s">
        <v>157</v>
      </c>
      <c r="V226" t="s">
        <v>71</v>
      </c>
      <c r="W226" t="s">
        <v>72</v>
      </c>
      <c r="X226">
        <v>180000</v>
      </c>
      <c r="Y226">
        <v>243000</v>
      </c>
      <c r="Z226" t="s">
        <v>56</v>
      </c>
      <c r="AA226" t="s">
        <v>73</v>
      </c>
      <c r="AB226" t="s">
        <v>74</v>
      </c>
      <c r="AC226" t="s">
        <v>75</v>
      </c>
      <c r="AD226" t="s">
        <v>62</v>
      </c>
      <c r="AE226">
        <v>0</v>
      </c>
      <c r="AF226">
        <v>0</v>
      </c>
      <c r="AG226">
        <v>0</v>
      </c>
      <c r="AH226" t="b">
        <v>1</v>
      </c>
      <c r="AI226" t="b">
        <v>1</v>
      </c>
      <c r="AJ226">
        <v>0</v>
      </c>
      <c r="AK226">
        <v>2</v>
      </c>
      <c r="AL226" t="b">
        <v>1</v>
      </c>
      <c r="AM226" t="b">
        <v>0</v>
      </c>
      <c r="AN226">
        <v>0</v>
      </c>
      <c r="AO226">
        <v>0</v>
      </c>
      <c r="AP226">
        <v>0</v>
      </c>
      <c r="AQ226">
        <v>1</v>
      </c>
      <c r="AR226">
        <v>0</v>
      </c>
      <c r="AS226">
        <v>1</v>
      </c>
      <c r="AT226">
        <v>0</v>
      </c>
      <c r="AU226">
        <v>0</v>
      </c>
    </row>
    <row r="227" spans="1:47" x14ac:dyDescent="0.3">
      <c r="A227" s="1">
        <v>46141</v>
      </c>
      <c r="B227" t="s">
        <v>459</v>
      </c>
      <c r="C227">
        <v>4</v>
      </c>
      <c r="D227" t="s">
        <v>288</v>
      </c>
      <c r="E227" t="s">
        <v>189</v>
      </c>
      <c r="F227" t="s">
        <v>80</v>
      </c>
      <c r="G227">
        <v>10</v>
      </c>
      <c r="H227">
        <v>10</v>
      </c>
      <c r="I227">
        <v>312000</v>
      </c>
      <c r="J227">
        <v>0</v>
      </c>
      <c r="K227" t="s">
        <v>51</v>
      </c>
      <c r="L227" s="1">
        <v>46148</v>
      </c>
      <c r="M227" s="1">
        <v>46148</v>
      </c>
      <c r="N227" t="s">
        <v>106</v>
      </c>
      <c r="P227">
        <v>225</v>
      </c>
      <c r="Q227" t="s">
        <v>289</v>
      </c>
      <c r="R227" t="s">
        <v>83</v>
      </c>
      <c r="S227" t="s">
        <v>69</v>
      </c>
      <c r="T227" t="s">
        <v>56</v>
      </c>
      <c r="U227" t="s">
        <v>191</v>
      </c>
      <c r="V227" t="s">
        <v>86</v>
      </c>
      <c r="W227" t="s">
        <v>87</v>
      </c>
      <c r="X227">
        <v>250000</v>
      </c>
      <c r="Y227">
        <v>312000</v>
      </c>
      <c r="Z227" t="s">
        <v>134</v>
      </c>
      <c r="AA227" t="s">
        <v>73</v>
      </c>
      <c r="AB227" t="s">
        <v>88</v>
      </c>
      <c r="AC227" t="s">
        <v>83</v>
      </c>
      <c r="AD227" t="s">
        <v>130</v>
      </c>
      <c r="AE227">
        <v>3120000</v>
      </c>
      <c r="AF227">
        <v>2500000</v>
      </c>
      <c r="AG227">
        <v>620000</v>
      </c>
      <c r="AH227" t="b">
        <v>1</v>
      </c>
      <c r="AI227" t="b">
        <v>1</v>
      </c>
      <c r="AJ227">
        <v>1</v>
      </c>
      <c r="AK227">
        <v>0</v>
      </c>
      <c r="AL227" t="b">
        <v>1</v>
      </c>
      <c r="AM227" t="b">
        <v>0</v>
      </c>
      <c r="AN227">
        <v>3120000</v>
      </c>
      <c r="AO227">
        <v>620000</v>
      </c>
      <c r="AP227">
        <v>10</v>
      </c>
      <c r="AQ227">
        <v>10</v>
      </c>
      <c r="AR227">
        <v>1</v>
      </c>
      <c r="AS227">
        <v>1</v>
      </c>
      <c r="AT227">
        <v>0</v>
      </c>
      <c r="AU227">
        <v>620000</v>
      </c>
    </row>
    <row r="228" spans="1:47" x14ac:dyDescent="0.3">
      <c r="A228" s="1">
        <v>46108</v>
      </c>
      <c r="B228" t="s">
        <v>460</v>
      </c>
      <c r="C228">
        <v>4</v>
      </c>
      <c r="D228" t="s">
        <v>330</v>
      </c>
      <c r="E228" t="s">
        <v>236</v>
      </c>
      <c r="F228" t="s">
        <v>80</v>
      </c>
      <c r="G228">
        <v>-7</v>
      </c>
      <c r="H228">
        <v>-7</v>
      </c>
      <c r="I228">
        <v>448000</v>
      </c>
      <c r="J228">
        <v>0.05</v>
      </c>
      <c r="K228" t="s">
        <v>216</v>
      </c>
      <c r="L228" s="1">
        <v>46109</v>
      </c>
      <c r="M228" s="1">
        <v>46109</v>
      </c>
      <c r="N228" t="s">
        <v>52</v>
      </c>
      <c r="P228">
        <v>226</v>
      </c>
      <c r="Q228" t="s">
        <v>331</v>
      </c>
      <c r="R228" t="s">
        <v>83</v>
      </c>
      <c r="S228" t="s">
        <v>55</v>
      </c>
      <c r="T228" t="s">
        <v>56</v>
      </c>
      <c r="U228" t="s">
        <v>237</v>
      </c>
      <c r="V228" t="s">
        <v>138</v>
      </c>
      <c r="W228" t="s">
        <v>139</v>
      </c>
      <c r="X228">
        <v>350000</v>
      </c>
      <c r="Y228">
        <v>448000</v>
      </c>
      <c r="Z228" t="s">
        <v>134</v>
      </c>
      <c r="AA228" t="s">
        <v>73</v>
      </c>
      <c r="AB228" t="s">
        <v>88</v>
      </c>
      <c r="AC228" t="s">
        <v>83</v>
      </c>
      <c r="AD228" t="s">
        <v>62</v>
      </c>
      <c r="AE228">
        <v>-2979200</v>
      </c>
      <c r="AF228">
        <v>-2450000</v>
      </c>
      <c r="AG228">
        <v>-529200</v>
      </c>
      <c r="AH228" t="b">
        <v>1</v>
      </c>
      <c r="AI228" t="b">
        <v>1</v>
      </c>
      <c r="AJ228">
        <v>1</v>
      </c>
      <c r="AK228">
        <v>0</v>
      </c>
      <c r="AL228" t="b">
        <v>0</v>
      </c>
      <c r="AM228" t="b">
        <v>1</v>
      </c>
      <c r="AN228">
        <v>-2979200</v>
      </c>
      <c r="AO228">
        <v>-529200</v>
      </c>
      <c r="AP228">
        <v>0</v>
      </c>
      <c r="AQ228">
        <v>0</v>
      </c>
      <c r="AR228">
        <v>1</v>
      </c>
      <c r="AS228">
        <v>1</v>
      </c>
      <c r="AT228">
        <v>-2979200</v>
      </c>
      <c r="AU228">
        <v>-529200</v>
      </c>
    </row>
    <row r="229" spans="1:47" x14ac:dyDescent="0.3">
      <c r="A229" s="1">
        <v>46046</v>
      </c>
      <c r="B229" t="s">
        <v>461</v>
      </c>
      <c r="C229">
        <v>2</v>
      </c>
      <c r="D229" t="s">
        <v>223</v>
      </c>
      <c r="E229" t="s">
        <v>167</v>
      </c>
      <c r="F229" t="s">
        <v>50</v>
      </c>
      <c r="G229">
        <v>-2</v>
      </c>
      <c r="H229">
        <v>-2</v>
      </c>
      <c r="I229">
        <v>1062000</v>
      </c>
      <c r="J229">
        <v>0.08</v>
      </c>
      <c r="K229" t="s">
        <v>216</v>
      </c>
      <c r="L229" s="1">
        <v>46047</v>
      </c>
      <c r="M229" s="1">
        <v>46049</v>
      </c>
      <c r="N229" t="s">
        <v>81</v>
      </c>
      <c r="P229">
        <v>227</v>
      </c>
      <c r="Q229" t="s">
        <v>224</v>
      </c>
      <c r="R229" t="s">
        <v>83</v>
      </c>
      <c r="S229" t="s">
        <v>55</v>
      </c>
      <c r="T229" t="s">
        <v>56</v>
      </c>
      <c r="U229" t="s">
        <v>169</v>
      </c>
      <c r="V229" t="s">
        <v>109</v>
      </c>
      <c r="W229" t="s">
        <v>110</v>
      </c>
      <c r="X229">
        <v>900000</v>
      </c>
      <c r="Y229">
        <v>1062000</v>
      </c>
      <c r="Z229" t="s">
        <v>56</v>
      </c>
      <c r="AA229" t="s">
        <v>60</v>
      </c>
      <c r="AB229" t="s">
        <v>61</v>
      </c>
      <c r="AC229" t="s">
        <v>54</v>
      </c>
      <c r="AD229" t="s">
        <v>94</v>
      </c>
      <c r="AE229">
        <v>-1954080</v>
      </c>
      <c r="AF229">
        <v>-1800000</v>
      </c>
      <c r="AG229">
        <v>-154080</v>
      </c>
      <c r="AH229" t="b">
        <v>1</v>
      </c>
      <c r="AI229" t="b">
        <v>1</v>
      </c>
      <c r="AJ229">
        <v>0</v>
      </c>
      <c r="AK229">
        <v>2</v>
      </c>
      <c r="AL229" t="b">
        <v>0</v>
      </c>
      <c r="AM229" t="b">
        <v>1</v>
      </c>
      <c r="AN229">
        <v>-1954080</v>
      </c>
      <c r="AO229">
        <v>-154080</v>
      </c>
      <c r="AP229">
        <v>0</v>
      </c>
      <c r="AQ229">
        <v>0</v>
      </c>
      <c r="AR229">
        <v>0</v>
      </c>
      <c r="AS229">
        <v>1</v>
      </c>
      <c r="AT229">
        <v>-1954080</v>
      </c>
      <c r="AU229">
        <v>-154080</v>
      </c>
    </row>
    <row r="230" spans="1:47" x14ac:dyDescent="0.3">
      <c r="A230" s="1">
        <v>46186</v>
      </c>
      <c r="B230" t="s">
        <v>434</v>
      </c>
      <c r="C230">
        <v>1</v>
      </c>
      <c r="D230" t="s">
        <v>120</v>
      </c>
      <c r="E230" t="s">
        <v>220</v>
      </c>
      <c r="F230" t="s">
        <v>66</v>
      </c>
      <c r="G230">
        <v>9</v>
      </c>
      <c r="H230">
        <v>9</v>
      </c>
      <c r="I230">
        <v>234000</v>
      </c>
      <c r="J230">
        <v>0.05</v>
      </c>
      <c r="K230" t="s">
        <v>51</v>
      </c>
      <c r="L230" s="1">
        <v>46196</v>
      </c>
      <c r="M230" s="1">
        <v>46203</v>
      </c>
      <c r="N230" t="s">
        <v>52</v>
      </c>
      <c r="P230">
        <v>228</v>
      </c>
      <c r="Q230" t="s">
        <v>122</v>
      </c>
      <c r="R230" t="s">
        <v>54</v>
      </c>
      <c r="S230" t="s">
        <v>123</v>
      </c>
      <c r="T230" t="s">
        <v>56</v>
      </c>
      <c r="U230" t="s">
        <v>221</v>
      </c>
      <c r="V230" t="s">
        <v>58</v>
      </c>
      <c r="W230" t="s">
        <v>59</v>
      </c>
      <c r="X230">
        <v>180000</v>
      </c>
      <c r="Y230">
        <v>234000</v>
      </c>
      <c r="Z230" t="s">
        <v>56</v>
      </c>
      <c r="AA230" t="s">
        <v>60</v>
      </c>
      <c r="AB230" t="s">
        <v>74</v>
      </c>
      <c r="AC230" t="s">
        <v>75</v>
      </c>
      <c r="AD230" t="s">
        <v>118</v>
      </c>
      <c r="AE230">
        <v>2000700</v>
      </c>
      <c r="AF230">
        <v>1620000</v>
      </c>
      <c r="AG230">
        <v>380700</v>
      </c>
      <c r="AH230" t="b">
        <v>1</v>
      </c>
      <c r="AI230" t="b">
        <v>1</v>
      </c>
      <c r="AJ230">
        <v>0</v>
      </c>
      <c r="AK230">
        <v>7</v>
      </c>
      <c r="AL230" t="b">
        <v>1</v>
      </c>
      <c r="AM230" t="b">
        <v>0</v>
      </c>
      <c r="AN230">
        <v>2000700</v>
      </c>
      <c r="AO230">
        <v>380700</v>
      </c>
      <c r="AP230">
        <v>9</v>
      </c>
      <c r="AQ230">
        <v>9</v>
      </c>
      <c r="AR230">
        <v>0</v>
      </c>
      <c r="AS230">
        <v>1</v>
      </c>
      <c r="AT230">
        <v>0</v>
      </c>
      <c r="AU230">
        <v>380700</v>
      </c>
    </row>
    <row r="231" spans="1:47" x14ac:dyDescent="0.3">
      <c r="A231" s="1">
        <v>46104</v>
      </c>
      <c r="B231" t="s">
        <v>462</v>
      </c>
      <c r="C231">
        <v>3</v>
      </c>
      <c r="D231" t="s">
        <v>146</v>
      </c>
      <c r="E231" t="s">
        <v>79</v>
      </c>
      <c r="F231" t="s">
        <v>80</v>
      </c>
      <c r="G231">
        <v>9</v>
      </c>
      <c r="H231">
        <v>1</v>
      </c>
      <c r="I231">
        <v>150000</v>
      </c>
      <c r="J231">
        <v>0</v>
      </c>
      <c r="K231" t="s">
        <v>98</v>
      </c>
      <c r="L231" s="1">
        <v>46105</v>
      </c>
      <c r="N231" t="s">
        <v>81</v>
      </c>
      <c r="P231">
        <v>229</v>
      </c>
      <c r="Q231" t="s">
        <v>148</v>
      </c>
      <c r="R231" t="s">
        <v>75</v>
      </c>
      <c r="S231" t="s">
        <v>69</v>
      </c>
      <c r="T231" t="s">
        <v>56</v>
      </c>
      <c r="U231" t="s">
        <v>85</v>
      </c>
      <c r="V231" t="s">
        <v>86</v>
      </c>
      <c r="W231" t="s">
        <v>87</v>
      </c>
      <c r="X231">
        <v>120000</v>
      </c>
      <c r="Y231">
        <v>150000</v>
      </c>
      <c r="Z231" t="s">
        <v>56</v>
      </c>
      <c r="AA231" t="s">
        <v>60</v>
      </c>
      <c r="AB231" t="s">
        <v>88</v>
      </c>
      <c r="AC231" t="s">
        <v>83</v>
      </c>
      <c r="AD231" t="s">
        <v>62</v>
      </c>
      <c r="AE231">
        <v>150000</v>
      </c>
      <c r="AF231">
        <v>120000</v>
      </c>
      <c r="AG231">
        <v>30000</v>
      </c>
      <c r="AH231" t="b">
        <v>1</v>
      </c>
      <c r="AI231" t="b">
        <v>0</v>
      </c>
      <c r="AL231" t="b">
        <v>1</v>
      </c>
      <c r="AM231" t="b">
        <v>0</v>
      </c>
      <c r="AN231">
        <v>150000</v>
      </c>
      <c r="AO231">
        <v>30000</v>
      </c>
      <c r="AP231">
        <v>1</v>
      </c>
      <c r="AQ231">
        <v>9</v>
      </c>
      <c r="AR231">
        <v>0</v>
      </c>
      <c r="AS231">
        <v>0</v>
      </c>
      <c r="AT231">
        <v>0</v>
      </c>
      <c r="AU231">
        <v>30000</v>
      </c>
    </row>
    <row r="232" spans="1:47" x14ac:dyDescent="0.3">
      <c r="A232" s="1">
        <v>46138</v>
      </c>
      <c r="B232" t="s">
        <v>463</v>
      </c>
      <c r="C232">
        <v>3</v>
      </c>
      <c r="D232" t="s">
        <v>96</v>
      </c>
      <c r="E232" t="s">
        <v>230</v>
      </c>
      <c r="F232" t="s">
        <v>50</v>
      </c>
      <c r="G232">
        <v>14</v>
      </c>
      <c r="H232">
        <v>14</v>
      </c>
      <c r="I232">
        <v>2196000</v>
      </c>
      <c r="J232">
        <v>0</v>
      </c>
      <c r="K232" t="s">
        <v>51</v>
      </c>
      <c r="L232" s="1">
        <v>46139</v>
      </c>
      <c r="M232" s="1">
        <v>46139</v>
      </c>
      <c r="N232" t="s">
        <v>52</v>
      </c>
      <c r="P232">
        <v>230</v>
      </c>
      <c r="Q232" t="s">
        <v>99</v>
      </c>
      <c r="R232" t="s">
        <v>75</v>
      </c>
      <c r="S232" t="s">
        <v>55</v>
      </c>
      <c r="T232" t="s">
        <v>56</v>
      </c>
      <c r="U232" t="s">
        <v>232</v>
      </c>
      <c r="V232" t="s">
        <v>101</v>
      </c>
      <c r="W232" t="s">
        <v>102</v>
      </c>
      <c r="X232">
        <v>1800000</v>
      </c>
      <c r="Y232">
        <v>2196000</v>
      </c>
      <c r="Z232" t="s">
        <v>56</v>
      </c>
      <c r="AA232" t="s">
        <v>129</v>
      </c>
      <c r="AB232" t="s">
        <v>61</v>
      </c>
      <c r="AC232" t="s">
        <v>54</v>
      </c>
      <c r="AD232" t="s">
        <v>130</v>
      </c>
      <c r="AE232">
        <v>30744000</v>
      </c>
      <c r="AF232">
        <v>25200000</v>
      </c>
      <c r="AG232">
        <v>5544000</v>
      </c>
      <c r="AH232" t="b">
        <v>1</v>
      </c>
      <c r="AI232" t="b">
        <v>1</v>
      </c>
      <c r="AJ232">
        <v>1</v>
      </c>
      <c r="AK232">
        <v>0</v>
      </c>
      <c r="AL232" t="b">
        <v>1</v>
      </c>
      <c r="AM232" t="b">
        <v>0</v>
      </c>
      <c r="AN232">
        <v>30744000</v>
      </c>
      <c r="AO232">
        <v>5544000</v>
      </c>
      <c r="AP232">
        <v>14</v>
      </c>
      <c r="AQ232">
        <v>14</v>
      </c>
      <c r="AR232">
        <v>1</v>
      </c>
      <c r="AS232">
        <v>1</v>
      </c>
      <c r="AT232">
        <v>0</v>
      </c>
      <c r="AU232">
        <v>5544000</v>
      </c>
    </row>
    <row r="233" spans="1:47" x14ac:dyDescent="0.3">
      <c r="A233" s="1">
        <v>46203</v>
      </c>
      <c r="B233" t="s">
        <v>233</v>
      </c>
      <c r="C233">
        <v>2</v>
      </c>
      <c r="D233" t="s">
        <v>194</v>
      </c>
      <c r="E233" t="s">
        <v>49</v>
      </c>
      <c r="F233" t="s">
        <v>114</v>
      </c>
      <c r="G233">
        <v>-7</v>
      </c>
      <c r="H233">
        <v>-7</v>
      </c>
      <c r="I233">
        <v>1170000</v>
      </c>
      <c r="J233">
        <v>0.08</v>
      </c>
      <c r="K233" t="s">
        <v>216</v>
      </c>
      <c r="L233" s="1">
        <v>46204</v>
      </c>
      <c r="M233" s="1">
        <v>46207</v>
      </c>
      <c r="N233" t="s">
        <v>52</v>
      </c>
      <c r="P233">
        <v>231</v>
      </c>
      <c r="Q233" t="s">
        <v>195</v>
      </c>
      <c r="R233" t="s">
        <v>54</v>
      </c>
      <c r="S233" t="s">
        <v>123</v>
      </c>
      <c r="T233" t="s">
        <v>56</v>
      </c>
      <c r="U233" t="s">
        <v>57</v>
      </c>
      <c r="V233" t="s">
        <v>58</v>
      </c>
      <c r="W233" t="s">
        <v>59</v>
      </c>
      <c r="X233">
        <v>900000</v>
      </c>
      <c r="Y233">
        <v>1170000</v>
      </c>
      <c r="Z233" t="s">
        <v>56</v>
      </c>
      <c r="AA233" t="s">
        <v>60</v>
      </c>
      <c r="AB233" t="s">
        <v>117</v>
      </c>
      <c r="AC233" t="s">
        <v>83</v>
      </c>
      <c r="AD233" t="s">
        <v>118</v>
      </c>
      <c r="AE233">
        <v>-7534800</v>
      </c>
      <c r="AF233">
        <v>-6300000</v>
      </c>
      <c r="AG233">
        <v>-1234800</v>
      </c>
      <c r="AH233" t="b">
        <v>1</v>
      </c>
      <c r="AI233" t="b">
        <v>1</v>
      </c>
      <c r="AJ233">
        <v>0</v>
      </c>
      <c r="AK233">
        <v>3</v>
      </c>
      <c r="AL233" t="b">
        <v>0</v>
      </c>
      <c r="AM233" t="b">
        <v>1</v>
      </c>
      <c r="AN233">
        <v>-7534800</v>
      </c>
      <c r="AO233">
        <v>-1234800</v>
      </c>
      <c r="AP233">
        <v>0</v>
      </c>
      <c r="AQ233">
        <v>0</v>
      </c>
      <c r="AR233">
        <v>0</v>
      </c>
      <c r="AS233">
        <v>1</v>
      </c>
      <c r="AT233">
        <v>-7534800</v>
      </c>
      <c r="AU233">
        <v>-1234800</v>
      </c>
    </row>
    <row r="234" spans="1:47" x14ac:dyDescent="0.3">
      <c r="A234" s="1">
        <v>46089</v>
      </c>
      <c r="B234" t="s">
        <v>464</v>
      </c>
      <c r="C234">
        <v>1</v>
      </c>
      <c r="D234" t="s">
        <v>151</v>
      </c>
      <c r="E234" t="s">
        <v>160</v>
      </c>
      <c r="F234" t="s">
        <v>80</v>
      </c>
      <c r="G234">
        <v>7</v>
      </c>
      <c r="H234">
        <v>7</v>
      </c>
      <c r="I234">
        <v>1125000</v>
      </c>
      <c r="J234">
        <v>0</v>
      </c>
      <c r="K234" t="s">
        <v>51</v>
      </c>
      <c r="L234" s="1">
        <v>46090</v>
      </c>
      <c r="M234" s="1">
        <v>46097</v>
      </c>
      <c r="N234" t="s">
        <v>81</v>
      </c>
      <c r="P234">
        <v>232</v>
      </c>
      <c r="Q234" t="s">
        <v>153</v>
      </c>
      <c r="R234" t="s">
        <v>75</v>
      </c>
      <c r="S234" t="s">
        <v>69</v>
      </c>
      <c r="T234" t="s">
        <v>56</v>
      </c>
      <c r="U234" t="s">
        <v>161</v>
      </c>
      <c r="V234" t="s">
        <v>86</v>
      </c>
      <c r="W234" t="s">
        <v>87</v>
      </c>
      <c r="X234">
        <v>900000</v>
      </c>
      <c r="Y234">
        <v>1125000</v>
      </c>
      <c r="Z234" t="s">
        <v>56</v>
      </c>
      <c r="AA234" t="s">
        <v>60</v>
      </c>
      <c r="AB234" t="s">
        <v>88</v>
      </c>
      <c r="AC234" t="s">
        <v>83</v>
      </c>
      <c r="AD234" t="s">
        <v>62</v>
      </c>
      <c r="AE234">
        <v>7875000</v>
      </c>
      <c r="AF234">
        <v>6300000</v>
      </c>
      <c r="AG234">
        <v>1575000</v>
      </c>
      <c r="AH234" t="b">
        <v>1</v>
      </c>
      <c r="AI234" t="b">
        <v>1</v>
      </c>
      <c r="AJ234">
        <v>0</v>
      </c>
      <c r="AK234">
        <v>7</v>
      </c>
      <c r="AL234" t="b">
        <v>1</v>
      </c>
      <c r="AM234" t="b">
        <v>0</v>
      </c>
      <c r="AN234">
        <v>7875000</v>
      </c>
      <c r="AO234">
        <v>1575000</v>
      </c>
      <c r="AP234">
        <v>7</v>
      </c>
      <c r="AQ234">
        <v>7</v>
      </c>
      <c r="AR234">
        <v>0</v>
      </c>
      <c r="AS234">
        <v>1</v>
      </c>
      <c r="AT234">
        <v>0</v>
      </c>
      <c r="AU234">
        <v>1575000</v>
      </c>
    </row>
    <row r="235" spans="1:47" x14ac:dyDescent="0.3">
      <c r="A235" s="1">
        <v>46056</v>
      </c>
      <c r="B235" t="s">
        <v>465</v>
      </c>
      <c r="C235">
        <v>4</v>
      </c>
      <c r="D235" t="s">
        <v>300</v>
      </c>
      <c r="E235" t="s">
        <v>65</v>
      </c>
      <c r="F235" t="s">
        <v>50</v>
      </c>
      <c r="G235">
        <v>5</v>
      </c>
      <c r="H235">
        <v>5</v>
      </c>
      <c r="I235">
        <v>2430000</v>
      </c>
      <c r="J235">
        <v>0.1</v>
      </c>
      <c r="K235" t="s">
        <v>51</v>
      </c>
      <c r="L235" s="1">
        <v>46061</v>
      </c>
      <c r="M235" s="1">
        <v>46068</v>
      </c>
      <c r="N235" t="s">
        <v>81</v>
      </c>
      <c r="P235">
        <v>233</v>
      </c>
      <c r="Q235" t="s">
        <v>301</v>
      </c>
      <c r="R235" t="s">
        <v>83</v>
      </c>
      <c r="S235" t="s">
        <v>123</v>
      </c>
      <c r="T235" t="s">
        <v>56</v>
      </c>
      <c r="U235" t="s">
        <v>70</v>
      </c>
      <c r="V235" t="s">
        <v>71</v>
      </c>
      <c r="W235" t="s">
        <v>72</v>
      </c>
      <c r="X235">
        <v>1800000</v>
      </c>
      <c r="Y235">
        <v>2430000</v>
      </c>
      <c r="Z235" t="s">
        <v>56</v>
      </c>
      <c r="AA235" t="s">
        <v>73</v>
      </c>
      <c r="AB235" t="s">
        <v>61</v>
      </c>
      <c r="AC235" t="s">
        <v>54</v>
      </c>
      <c r="AD235" t="s">
        <v>158</v>
      </c>
      <c r="AE235">
        <v>10935000</v>
      </c>
      <c r="AF235">
        <v>9000000</v>
      </c>
      <c r="AG235">
        <v>1935000</v>
      </c>
      <c r="AH235" t="b">
        <v>1</v>
      </c>
      <c r="AI235" t="b">
        <v>1</v>
      </c>
      <c r="AJ235">
        <v>0</v>
      </c>
      <c r="AK235">
        <v>7</v>
      </c>
      <c r="AL235" t="b">
        <v>1</v>
      </c>
      <c r="AM235" t="b">
        <v>0</v>
      </c>
      <c r="AN235">
        <v>10935000</v>
      </c>
      <c r="AO235">
        <v>1935000</v>
      </c>
      <c r="AP235">
        <v>5</v>
      </c>
      <c r="AQ235">
        <v>5</v>
      </c>
      <c r="AR235">
        <v>0</v>
      </c>
      <c r="AS235">
        <v>1</v>
      </c>
      <c r="AT235">
        <v>0</v>
      </c>
      <c r="AU235">
        <v>1935000</v>
      </c>
    </row>
    <row r="236" spans="1:47" x14ac:dyDescent="0.3">
      <c r="A236" s="1">
        <v>46046</v>
      </c>
      <c r="B236" t="s">
        <v>466</v>
      </c>
      <c r="C236">
        <v>1</v>
      </c>
      <c r="D236" t="s">
        <v>90</v>
      </c>
      <c r="E236" t="s">
        <v>206</v>
      </c>
      <c r="F236" t="s">
        <v>114</v>
      </c>
      <c r="G236">
        <v>11</v>
      </c>
      <c r="H236">
        <v>0</v>
      </c>
      <c r="I236">
        <v>648000</v>
      </c>
      <c r="J236">
        <v>0.05</v>
      </c>
      <c r="K236" t="s">
        <v>127</v>
      </c>
      <c r="L236" s="1">
        <v>46056</v>
      </c>
      <c r="N236" t="s">
        <v>67</v>
      </c>
      <c r="P236">
        <v>234</v>
      </c>
      <c r="Q236" t="s">
        <v>92</v>
      </c>
      <c r="R236" t="s">
        <v>75</v>
      </c>
      <c r="S236" t="s">
        <v>84</v>
      </c>
      <c r="T236" t="s">
        <v>56</v>
      </c>
      <c r="U236" t="s">
        <v>207</v>
      </c>
      <c r="V236" t="s">
        <v>71</v>
      </c>
      <c r="W236" t="s">
        <v>72</v>
      </c>
      <c r="X236">
        <v>480000</v>
      </c>
      <c r="Y236">
        <v>648000</v>
      </c>
      <c r="Z236" t="s">
        <v>56</v>
      </c>
      <c r="AA236" t="s">
        <v>73</v>
      </c>
      <c r="AB236" t="s">
        <v>117</v>
      </c>
      <c r="AC236" t="s">
        <v>83</v>
      </c>
      <c r="AD236" t="s">
        <v>94</v>
      </c>
      <c r="AE236">
        <v>0</v>
      </c>
      <c r="AG236">
        <v>0</v>
      </c>
      <c r="AH236" t="b">
        <v>1</v>
      </c>
      <c r="AI236" t="b">
        <v>0</v>
      </c>
      <c r="AL236" t="b">
        <v>0</v>
      </c>
      <c r="AM236" t="b">
        <v>0</v>
      </c>
      <c r="AN236">
        <v>0</v>
      </c>
      <c r="AO236">
        <v>0</v>
      </c>
      <c r="AP236">
        <v>0</v>
      </c>
      <c r="AQ236">
        <v>0</v>
      </c>
      <c r="AR236">
        <v>0</v>
      </c>
      <c r="AS236">
        <v>0</v>
      </c>
      <c r="AT236">
        <v>0</v>
      </c>
      <c r="AU236">
        <v>0</v>
      </c>
    </row>
    <row r="237" spans="1:47" x14ac:dyDescent="0.3">
      <c r="A237" s="1">
        <v>46150</v>
      </c>
      <c r="B237" t="s">
        <v>467</v>
      </c>
      <c r="C237">
        <v>4</v>
      </c>
      <c r="D237" t="s">
        <v>174</v>
      </c>
      <c r="E237" t="s">
        <v>197</v>
      </c>
      <c r="F237" t="s">
        <v>50</v>
      </c>
      <c r="G237">
        <v>14</v>
      </c>
      <c r="H237">
        <v>0</v>
      </c>
      <c r="I237">
        <v>1215000</v>
      </c>
      <c r="J237">
        <v>0.02</v>
      </c>
      <c r="K237" t="s">
        <v>127</v>
      </c>
      <c r="L237" s="1">
        <v>46153</v>
      </c>
      <c r="N237" t="s">
        <v>67</v>
      </c>
      <c r="P237">
        <v>235</v>
      </c>
      <c r="Q237" t="s">
        <v>176</v>
      </c>
      <c r="R237" t="s">
        <v>83</v>
      </c>
      <c r="S237" t="s">
        <v>69</v>
      </c>
      <c r="T237" t="s">
        <v>56</v>
      </c>
      <c r="U237" t="s">
        <v>198</v>
      </c>
      <c r="V237" t="s">
        <v>71</v>
      </c>
      <c r="W237" t="s">
        <v>72</v>
      </c>
      <c r="X237">
        <v>900000</v>
      </c>
      <c r="Y237">
        <v>1215000</v>
      </c>
      <c r="Z237" t="s">
        <v>56</v>
      </c>
      <c r="AA237" t="s">
        <v>129</v>
      </c>
      <c r="AB237" t="s">
        <v>61</v>
      </c>
      <c r="AC237" t="s">
        <v>54</v>
      </c>
      <c r="AD237" t="s">
        <v>76</v>
      </c>
      <c r="AE237">
        <v>0</v>
      </c>
      <c r="AG237">
        <v>0</v>
      </c>
      <c r="AH237" t="b">
        <v>1</v>
      </c>
      <c r="AI237" t="b">
        <v>0</v>
      </c>
      <c r="AL237" t="b">
        <v>0</v>
      </c>
      <c r="AM237" t="b">
        <v>0</v>
      </c>
      <c r="AN237">
        <v>0</v>
      </c>
      <c r="AO237">
        <v>0</v>
      </c>
      <c r="AP237">
        <v>0</v>
      </c>
      <c r="AQ237">
        <v>0</v>
      </c>
      <c r="AR237">
        <v>0</v>
      </c>
      <c r="AS237">
        <v>0</v>
      </c>
      <c r="AT237">
        <v>0</v>
      </c>
      <c r="AU237">
        <v>0</v>
      </c>
    </row>
    <row r="238" spans="1:47" x14ac:dyDescent="0.3">
      <c r="A238" s="1">
        <v>46061</v>
      </c>
      <c r="B238" t="s">
        <v>468</v>
      </c>
      <c r="C238">
        <v>2</v>
      </c>
      <c r="D238" t="s">
        <v>163</v>
      </c>
      <c r="E238" t="s">
        <v>175</v>
      </c>
      <c r="F238" t="s">
        <v>66</v>
      </c>
      <c r="G238">
        <v>31</v>
      </c>
      <c r="H238">
        <v>31</v>
      </c>
      <c r="I238">
        <v>1098000</v>
      </c>
      <c r="J238">
        <v>0</v>
      </c>
      <c r="K238" t="s">
        <v>51</v>
      </c>
      <c r="L238" s="1">
        <v>46066</v>
      </c>
      <c r="M238" s="1">
        <v>46066</v>
      </c>
      <c r="N238" t="s">
        <v>81</v>
      </c>
      <c r="P238">
        <v>236</v>
      </c>
      <c r="Q238" t="s">
        <v>164</v>
      </c>
      <c r="R238" t="s">
        <v>75</v>
      </c>
      <c r="S238" t="s">
        <v>69</v>
      </c>
      <c r="T238" t="s">
        <v>56</v>
      </c>
      <c r="U238" t="s">
        <v>177</v>
      </c>
      <c r="V238" t="s">
        <v>101</v>
      </c>
      <c r="W238" t="s">
        <v>102</v>
      </c>
      <c r="X238">
        <v>900000</v>
      </c>
      <c r="Y238">
        <v>1098000</v>
      </c>
      <c r="Z238" t="s">
        <v>56</v>
      </c>
      <c r="AA238" t="s">
        <v>129</v>
      </c>
      <c r="AB238" t="s">
        <v>74</v>
      </c>
      <c r="AC238" t="s">
        <v>75</v>
      </c>
      <c r="AD238" t="s">
        <v>158</v>
      </c>
      <c r="AE238">
        <v>34038000</v>
      </c>
      <c r="AF238">
        <v>27900000</v>
      </c>
      <c r="AG238">
        <v>6138000</v>
      </c>
      <c r="AH238" t="b">
        <v>1</v>
      </c>
      <c r="AI238" t="b">
        <v>1</v>
      </c>
      <c r="AJ238">
        <v>1</v>
      </c>
      <c r="AK238">
        <v>0</v>
      </c>
      <c r="AL238" t="b">
        <v>1</v>
      </c>
      <c r="AM238" t="b">
        <v>0</v>
      </c>
      <c r="AN238">
        <v>34038000</v>
      </c>
      <c r="AO238">
        <v>6138000</v>
      </c>
      <c r="AP238">
        <v>31</v>
      </c>
      <c r="AQ238">
        <v>31</v>
      </c>
      <c r="AR238">
        <v>1</v>
      </c>
      <c r="AS238">
        <v>1</v>
      </c>
      <c r="AT238">
        <v>0</v>
      </c>
      <c r="AU238">
        <v>6138000</v>
      </c>
    </row>
    <row r="239" spans="1:47" x14ac:dyDescent="0.3">
      <c r="A239" s="1">
        <v>46184</v>
      </c>
      <c r="B239" t="s">
        <v>368</v>
      </c>
      <c r="C239">
        <v>1</v>
      </c>
      <c r="D239" t="s">
        <v>104</v>
      </c>
      <c r="E239" t="s">
        <v>91</v>
      </c>
      <c r="F239" t="s">
        <v>66</v>
      </c>
      <c r="G239">
        <v>35</v>
      </c>
      <c r="H239">
        <v>22</v>
      </c>
      <c r="I239">
        <v>2250000</v>
      </c>
      <c r="J239">
        <v>0.08</v>
      </c>
      <c r="K239" t="s">
        <v>98</v>
      </c>
      <c r="L239" s="1">
        <v>46191</v>
      </c>
      <c r="N239" t="s">
        <v>52</v>
      </c>
      <c r="P239">
        <v>237</v>
      </c>
      <c r="Q239" t="s">
        <v>107</v>
      </c>
      <c r="R239" t="s">
        <v>83</v>
      </c>
      <c r="S239" t="s">
        <v>55</v>
      </c>
      <c r="T239" t="s">
        <v>56</v>
      </c>
      <c r="U239" t="s">
        <v>93</v>
      </c>
      <c r="V239" t="s">
        <v>86</v>
      </c>
      <c r="W239" t="s">
        <v>87</v>
      </c>
      <c r="X239">
        <v>1800000</v>
      </c>
      <c r="Y239">
        <v>2250000</v>
      </c>
      <c r="Z239" t="s">
        <v>56</v>
      </c>
      <c r="AA239" t="s">
        <v>60</v>
      </c>
      <c r="AB239" t="s">
        <v>74</v>
      </c>
      <c r="AC239" t="s">
        <v>75</v>
      </c>
      <c r="AD239" t="s">
        <v>118</v>
      </c>
      <c r="AE239">
        <v>45540000</v>
      </c>
      <c r="AF239">
        <v>39600000</v>
      </c>
      <c r="AG239">
        <v>5940000</v>
      </c>
      <c r="AH239" t="b">
        <v>1</v>
      </c>
      <c r="AI239" t="b">
        <v>0</v>
      </c>
      <c r="AL239" t="b">
        <v>1</v>
      </c>
      <c r="AM239" t="b">
        <v>0</v>
      </c>
      <c r="AN239">
        <v>45540000</v>
      </c>
      <c r="AO239">
        <v>5940000</v>
      </c>
      <c r="AP239">
        <v>22</v>
      </c>
      <c r="AQ239">
        <v>35</v>
      </c>
      <c r="AR239">
        <v>0</v>
      </c>
      <c r="AS239">
        <v>0</v>
      </c>
      <c r="AT239">
        <v>0</v>
      </c>
      <c r="AU239">
        <v>5940000</v>
      </c>
    </row>
    <row r="240" spans="1:47" x14ac:dyDescent="0.3">
      <c r="A240" s="1">
        <v>46122</v>
      </c>
      <c r="B240" t="s">
        <v>469</v>
      </c>
      <c r="C240">
        <v>2</v>
      </c>
      <c r="D240" t="s">
        <v>333</v>
      </c>
      <c r="E240" t="s">
        <v>132</v>
      </c>
      <c r="F240" t="s">
        <v>80</v>
      </c>
      <c r="G240">
        <v>2</v>
      </c>
      <c r="H240">
        <v>0</v>
      </c>
      <c r="I240">
        <v>413000</v>
      </c>
      <c r="J240">
        <v>0.02</v>
      </c>
      <c r="K240" t="s">
        <v>127</v>
      </c>
      <c r="L240" s="1">
        <v>46123</v>
      </c>
      <c r="N240" t="s">
        <v>67</v>
      </c>
      <c r="P240">
        <v>238</v>
      </c>
      <c r="Q240" t="s">
        <v>334</v>
      </c>
      <c r="R240" t="s">
        <v>75</v>
      </c>
      <c r="S240" t="s">
        <v>123</v>
      </c>
      <c r="T240" t="s">
        <v>56</v>
      </c>
      <c r="U240" t="s">
        <v>133</v>
      </c>
      <c r="V240" t="s">
        <v>109</v>
      </c>
      <c r="W240" t="s">
        <v>110</v>
      </c>
      <c r="X240">
        <v>350000</v>
      </c>
      <c r="Y240">
        <v>413000</v>
      </c>
      <c r="Z240" t="s">
        <v>134</v>
      </c>
      <c r="AA240" t="s">
        <v>73</v>
      </c>
      <c r="AB240" t="s">
        <v>88</v>
      </c>
      <c r="AC240" t="s">
        <v>83</v>
      </c>
      <c r="AD240" t="s">
        <v>130</v>
      </c>
      <c r="AE240">
        <v>0</v>
      </c>
      <c r="AG240">
        <v>0</v>
      </c>
      <c r="AH240" t="b">
        <v>1</v>
      </c>
      <c r="AI240" t="b">
        <v>0</v>
      </c>
      <c r="AL240" t="b">
        <v>0</v>
      </c>
      <c r="AM240" t="b">
        <v>0</v>
      </c>
      <c r="AN240">
        <v>0</v>
      </c>
      <c r="AO240">
        <v>0</v>
      </c>
      <c r="AP240">
        <v>0</v>
      </c>
      <c r="AQ240">
        <v>0</v>
      </c>
      <c r="AR240">
        <v>0</v>
      </c>
      <c r="AS240">
        <v>0</v>
      </c>
      <c r="AT240">
        <v>0</v>
      </c>
      <c r="AU240">
        <v>0</v>
      </c>
    </row>
    <row r="241" spans="1:47" x14ac:dyDescent="0.3">
      <c r="A241" s="1">
        <v>46158</v>
      </c>
      <c r="B241" t="s">
        <v>470</v>
      </c>
      <c r="C241">
        <v>2</v>
      </c>
      <c r="D241" t="s">
        <v>344</v>
      </c>
      <c r="E241" t="s">
        <v>236</v>
      </c>
      <c r="F241" t="s">
        <v>80</v>
      </c>
      <c r="G241">
        <v>16</v>
      </c>
      <c r="H241">
        <v>16</v>
      </c>
      <c r="I241">
        <v>448000</v>
      </c>
      <c r="J241">
        <v>0</v>
      </c>
      <c r="K241" t="s">
        <v>51</v>
      </c>
      <c r="L241" s="1">
        <v>46165</v>
      </c>
      <c r="M241" s="1">
        <v>46172</v>
      </c>
      <c r="N241" t="s">
        <v>67</v>
      </c>
      <c r="P241">
        <v>239</v>
      </c>
      <c r="Q241" t="s">
        <v>345</v>
      </c>
      <c r="R241" t="s">
        <v>54</v>
      </c>
      <c r="S241" t="s">
        <v>84</v>
      </c>
      <c r="T241" t="s">
        <v>56</v>
      </c>
      <c r="U241" t="s">
        <v>237</v>
      </c>
      <c r="V241" t="s">
        <v>138</v>
      </c>
      <c r="W241" t="s">
        <v>139</v>
      </c>
      <c r="X241">
        <v>350000</v>
      </c>
      <c r="Y241">
        <v>448000</v>
      </c>
      <c r="Z241" t="s">
        <v>134</v>
      </c>
      <c r="AA241" t="s">
        <v>73</v>
      </c>
      <c r="AB241" t="s">
        <v>88</v>
      </c>
      <c r="AC241" t="s">
        <v>83</v>
      </c>
      <c r="AD241" t="s">
        <v>76</v>
      </c>
      <c r="AE241">
        <v>7168000</v>
      </c>
      <c r="AF241">
        <v>5600000</v>
      </c>
      <c r="AG241">
        <v>1568000</v>
      </c>
      <c r="AH241" t="b">
        <v>1</v>
      </c>
      <c r="AI241" t="b">
        <v>1</v>
      </c>
      <c r="AJ241">
        <v>0</v>
      </c>
      <c r="AK241">
        <v>7</v>
      </c>
      <c r="AL241" t="b">
        <v>1</v>
      </c>
      <c r="AM241" t="b">
        <v>0</v>
      </c>
      <c r="AN241">
        <v>7168000</v>
      </c>
      <c r="AO241">
        <v>1568000</v>
      </c>
      <c r="AP241">
        <v>16</v>
      </c>
      <c r="AQ241">
        <v>16</v>
      </c>
      <c r="AR241">
        <v>0</v>
      </c>
      <c r="AS241">
        <v>1</v>
      </c>
      <c r="AT241">
        <v>0</v>
      </c>
      <c r="AU241">
        <v>1568000</v>
      </c>
    </row>
    <row r="242" spans="1:47" x14ac:dyDescent="0.3">
      <c r="A242" s="1">
        <v>46113</v>
      </c>
      <c r="B242" t="s">
        <v>471</v>
      </c>
      <c r="C242">
        <v>2</v>
      </c>
      <c r="D242" t="s">
        <v>326</v>
      </c>
      <c r="E242" t="s">
        <v>132</v>
      </c>
      <c r="F242" t="s">
        <v>50</v>
      </c>
      <c r="G242">
        <v>2</v>
      </c>
      <c r="H242">
        <v>1</v>
      </c>
      <c r="I242">
        <v>413000</v>
      </c>
      <c r="J242">
        <v>0.08</v>
      </c>
      <c r="K242" t="s">
        <v>98</v>
      </c>
      <c r="L242" s="1">
        <v>46120</v>
      </c>
      <c r="N242" t="s">
        <v>81</v>
      </c>
      <c r="P242">
        <v>240</v>
      </c>
      <c r="Q242" t="s">
        <v>327</v>
      </c>
      <c r="R242" t="s">
        <v>54</v>
      </c>
      <c r="S242" t="s">
        <v>69</v>
      </c>
      <c r="T242" t="s">
        <v>56</v>
      </c>
      <c r="U242" t="s">
        <v>133</v>
      </c>
      <c r="V242" t="s">
        <v>109</v>
      </c>
      <c r="W242" t="s">
        <v>110</v>
      </c>
      <c r="X242">
        <v>350000</v>
      </c>
      <c r="Y242">
        <v>413000</v>
      </c>
      <c r="Z242" t="s">
        <v>134</v>
      </c>
      <c r="AA242" t="s">
        <v>73</v>
      </c>
      <c r="AB242" t="s">
        <v>61</v>
      </c>
      <c r="AC242" t="s">
        <v>54</v>
      </c>
      <c r="AD242" t="s">
        <v>130</v>
      </c>
      <c r="AE242">
        <v>379960</v>
      </c>
      <c r="AF242">
        <v>350000</v>
      </c>
      <c r="AG242">
        <v>29960</v>
      </c>
      <c r="AH242" t="b">
        <v>1</v>
      </c>
      <c r="AI242" t="b">
        <v>0</v>
      </c>
      <c r="AL242" t="b">
        <v>1</v>
      </c>
      <c r="AM242" t="b">
        <v>0</v>
      </c>
      <c r="AN242">
        <v>379960</v>
      </c>
      <c r="AO242">
        <v>29960</v>
      </c>
      <c r="AP242">
        <v>1</v>
      </c>
      <c r="AQ242">
        <v>2</v>
      </c>
      <c r="AR242">
        <v>0</v>
      </c>
      <c r="AS242">
        <v>0</v>
      </c>
      <c r="AT242">
        <v>0</v>
      </c>
      <c r="AU242">
        <v>29960</v>
      </c>
    </row>
    <row r="243" spans="1:47" x14ac:dyDescent="0.3">
      <c r="A243" s="1">
        <v>46167</v>
      </c>
      <c r="B243" t="s">
        <v>472</v>
      </c>
      <c r="C243">
        <v>4</v>
      </c>
      <c r="D243" t="s">
        <v>292</v>
      </c>
      <c r="E243" t="s">
        <v>378</v>
      </c>
      <c r="F243" t="s">
        <v>80</v>
      </c>
      <c r="G243">
        <v>32</v>
      </c>
      <c r="H243">
        <v>32</v>
      </c>
      <c r="I243">
        <v>793000</v>
      </c>
      <c r="J243">
        <v>0.08</v>
      </c>
      <c r="K243" t="s">
        <v>51</v>
      </c>
      <c r="L243" s="1">
        <v>46169</v>
      </c>
      <c r="M243" s="1">
        <v>46168</v>
      </c>
      <c r="N243" t="s">
        <v>67</v>
      </c>
      <c r="P243">
        <v>241</v>
      </c>
      <c r="Q243" t="s">
        <v>293</v>
      </c>
      <c r="R243" t="s">
        <v>83</v>
      </c>
      <c r="S243" t="s">
        <v>69</v>
      </c>
      <c r="T243" t="s">
        <v>56</v>
      </c>
      <c r="U243" t="s">
        <v>380</v>
      </c>
      <c r="V243" t="s">
        <v>101</v>
      </c>
      <c r="W243" t="s">
        <v>102</v>
      </c>
      <c r="X243">
        <v>650000</v>
      </c>
      <c r="Y243">
        <v>793000</v>
      </c>
      <c r="Z243" t="s">
        <v>56</v>
      </c>
      <c r="AA243" t="s">
        <v>129</v>
      </c>
      <c r="AB243" t="s">
        <v>88</v>
      </c>
      <c r="AC243" t="s">
        <v>83</v>
      </c>
      <c r="AD243" t="s">
        <v>76</v>
      </c>
      <c r="AE243">
        <v>23345920</v>
      </c>
      <c r="AF243">
        <v>20800000</v>
      </c>
      <c r="AG243">
        <v>2545920</v>
      </c>
      <c r="AH243" t="b">
        <v>1</v>
      </c>
      <c r="AI243" t="b">
        <v>1</v>
      </c>
      <c r="AJ243">
        <v>1</v>
      </c>
      <c r="AK243">
        <v>-1</v>
      </c>
      <c r="AL243" t="b">
        <v>1</v>
      </c>
      <c r="AM243" t="b">
        <v>0</v>
      </c>
      <c r="AN243">
        <v>23345920</v>
      </c>
      <c r="AO243">
        <v>2545920</v>
      </c>
      <c r="AP243">
        <v>32</v>
      </c>
      <c r="AQ243">
        <v>32</v>
      </c>
      <c r="AR243">
        <v>1</v>
      </c>
      <c r="AS243">
        <v>1</v>
      </c>
      <c r="AT243">
        <v>0</v>
      </c>
      <c r="AU243">
        <v>2545920</v>
      </c>
    </row>
    <row r="244" spans="1:47" x14ac:dyDescent="0.3">
      <c r="A244" s="1">
        <v>46023</v>
      </c>
      <c r="B244" t="s">
        <v>466</v>
      </c>
      <c r="C244">
        <v>2</v>
      </c>
      <c r="D244" t="s">
        <v>277</v>
      </c>
      <c r="E244" t="s">
        <v>255</v>
      </c>
      <c r="F244" t="s">
        <v>80</v>
      </c>
      <c r="G244">
        <v>21</v>
      </c>
      <c r="H244">
        <v>20</v>
      </c>
      <c r="I244">
        <v>234000</v>
      </c>
      <c r="J244">
        <v>0.1</v>
      </c>
      <c r="K244" t="s">
        <v>51</v>
      </c>
      <c r="L244" s="1">
        <v>46025</v>
      </c>
      <c r="M244" s="1">
        <v>46032</v>
      </c>
      <c r="N244" t="s">
        <v>106</v>
      </c>
      <c r="P244">
        <v>242</v>
      </c>
      <c r="Q244" t="s">
        <v>278</v>
      </c>
      <c r="R244" t="s">
        <v>75</v>
      </c>
      <c r="S244" t="s">
        <v>123</v>
      </c>
      <c r="T244" t="s">
        <v>218</v>
      </c>
      <c r="U244" t="s">
        <v>257</v>
      </c>
      <c r="V244" t="s">
        <v>58</v>
      </c>
      <c r="W244" t="s">
        <v>59</v>
      </c>
      <c r="X244">
        <v>180000</v>
      </c>
      <c r="Y244">
        <v>234000</v>
      </c>
      <c r="Z244" t="s">
        <v>56</v>
      </c>
      <c r="AA244" t="s">
        <v>60</v>
      </c>
      <c r="AB244" t="s">
        <v>88</v>
      </c>
      <c r="AC244" t="s">
        <v>83</v>
      </c>
      <c r="AD244" t="s">
        <v>94</v>
      </c>
      <c r="AE244">
        <v>4212000</v>
      </c>
      <c r="AF244">
        <v>3600000</v>
      </c>
      <c r="AG244">
        <v>612000</v>
      </c>
      <c r="AH244" t="b">
        <v>1</v>
      </c>
      <c r="AI244" t="b">
        <v>1</v>
      </c>
      <c r="AJ244">
        <v>0</v>
      </c>
      <c r="AK244">
        <v>7</v>
      </c>
      <c r="AL244" t="b">
        <v>1</v>
      </c>
      <c r="AM244" t="b">
        <v>0</v>
      </c>
      <c r="AN244">
        <v>4212000</v>
      </c>
      <c r="AO244">
        <v>612000</v>
      </c>
      <c r="AP244">
        <v>20</v>
      </c>
      <c r="AQ244">
        <v>21</v>
      </c>
      <c r="AR244">
        <v>0</v>
      </c>
      <c r="AS244">
        <v>1</v>
      </c>
      <c r="AT244">
        <v>0</v>
      </c>
      <c r="AU244">
        <v>612000</v>
      </c>
    </row>
    <row r="245" spans="1:47" x14ac:dyDescent="0.3">
      <c r="A245" s="1">
        <v>46157</v>
      </c>
      <c r="B245" t="s">
        <v>281</v>
      </c>
      <c r="C245">
        <v>1</v>
      </c>
      <c r="D245" t="s">
        <v>300</v>
      </c>
      <c r="E245" t="s">
        <v>259</v>
      </c>
      <c r="F245" t="s">
        <v>114</v>
      </c>
      <c r="G245">
        <v>22</v>
      </c>
      <c r="H245">
        <v>22</v>
      </c>
      <c r="I245">
        <v>146000</v>
      </c>
      <c r="J245">
        <v>0.1</v>
      </c>
      <c r="K245" t="s">
        <v>51</v>
      </c>
      <c r="L245" s="1">
        <v>46162</v>
      </c>
      <c r="M245" s="1">
        <v>46169</v>
      </c>
      <c r="N245" t="s">
        <v>67</v>
      </c>
      <c r="P245">
        <v>243</v>
      </c>
      <c r="Q245" t="s">
        <v>301</v>
      </c>
      <c r="R245" t="s">
        <v>83</v>
      </c>
      <c r="S245" t="s">
        <v>123</v>
      </c>
      <c r="T245" t="s">
        <v>56</v>
      </c>
      <c r="U245" t="s">
        <v>260</v>
      </c>
      <c r="V245" t="s">
        <v>101</v>
      </c>
      <c r="W245" t="s">
        <v>102</v>
      </c>
      <c r="X245">
        <v>120000</v>
      </c>
      <c r="Y245">
        <v>146000</v>
      </c>
      <c r="Z245" t="s">
        <v>56</v>
      </c>
      <c r="AA245" t="s">
        <v>129</v>
      </c>
      <c r="AB245" t="s">
        <v>117</v>
      </c>
      <c r="AC245" t="s">
        <v>83</v>
      </c>
      <c r="AD245" t="s">
        <v>76</v>
      </c>
      <c r="AE245">
        <v>2890800</v>
      </c>
      <c r="AF245">
        <v>2640000</v>
      </c>
      <c r="AG245">
        <v>250800</v>
      </c>
      <c r="AH245" t="b">
        <v>1</v>
      </c>
      <c r="AI245" t="b">
        <v>1</v>
      </c>
      <c r="AJ245">
        <v>0</v>
      </c>
      <c r="AK245">
        <v>7</v>
      </c>
      <c r="AL245" t="b">
        <v>1</v>
      </c>
      <c r="AM245" t="b">
        <v>0</v>
      </c>
      <c r="AN245">
        <v>2890800</v>
      </c>
      <c r="AO245">
        <v>250800</v>
      </c>
      <c r="AP245">
        <v>22</v>
      </c>
      <c r="AQ245">
        <v>22</v>
      </c>
      <c r="AR245">
        <v>0</v>
      </c>
      <c r="AS245">
        <v>1</v>
      </c>
      <c r="AT245">
        <v>0</v>
      </c>
      <c r="AU245">
        <v>250800</v>
      </c>
    </row>
    <row r="246" spans="1:47" x14ac:dyDescent="0.3">
      <c r="A246" s="1">
        <v>46189</v>
      </c>
      <c r="B246" t="s">
        <v>473</v>
      </c>
      <c r="C246">
        <v>2</v>
      </c>
      <c r="D246" t="s">
        <v>48</v>
      </c>
      <c r="E246" t="s">
        <v>91</v>
      </c>
      <c r="F246" t="s">
        <v>80</v>
      </c>
      <c r="G246">
        <v>12</v>
      </c>
      <c r="H246">
        <v>9</v>
      </c>
      <c r="I246">
        <v>2250000</v>
      </c>
      <c r="J246">
        <v>0.02</v>
      </c>
      <c r="K246" t="s">
        <v>51</v>
      </c>
      <c r="L246" s="1">
        <v>46191</v>
      </c>
      <c r="M246" s="1">
        <v>46191</v>
      </c>
      <c r="N246" t="s">
        <v>106</v>
      </c>
      <c r="P246">
        <v>244</v>
      </c>
      <c r="Q246" t="s">
        <v>53</v>
      </c>
      <c r="R246" t="s">
        <v>54</v>
      </c>
      <c r="S246" t="s">
        <v>55</v>
      </c>
      <c r="T246" t="s">
        <v>56</v>
      </c>
      <c r="U246" t="s">
        <v>93</v>
      </c>
      <c r="V246" t="s">
        <v>86</v>
      </c>
      <c r="W246" t="s">
        <v>87</v>
      </c>
      <c r="X246">
        <v>1800000</v>
      </c>
      <c r="Y246">
        <v>2250000</v>
      </c>
      <c r="Z246" t="s">
        <v>56</v>
      </c>
      <c r="AA246" t="s">
        <v>60</v>
      </c>
      <c r="AB246" t="s">
        <v>88</v>
      </c>
      <c r="AC246" t="s">
        <v>83</v>
      </c>
      <c r="AD246" t="s">
        <v>118</v>
      </c>
      <c r="AE246">
        <v>19845000</v>
      </c>
      <c r="AF246">
        <v>16200000</v>
      </c>
      <c r="AG246">
        <v>3645000</v>
      </c>
      <c r="AH246" t="b">
        <v>1</v>
      </c>
      <c r="AI246" t="b">
        <v>1</v>
      </c>
      <c r="AJ246">
        <v>1</v>
      </c>
      <c r="AK246">
        <v>0</v>
      </c>
      <c r="AL246" t="b">
        <v>1</v>
      </c>
      <c r="AM246" t="b">
        <v>0</v>
      </c>
      <c r="AN246">
        <v>19845000</v>
      </c>
      <c r="AO246">
        <v>3645000</v>
      </c>
      <c r="AP246">
        <v>9</v>
      </c>
      <c r="AQ246">
        <v>12</v>
      </c>
      <c r="AR246">
        <v>1</v>
      </c>
      <c r="AS246">
        <v>1</v>
      </c>
      <c r="AT246">
        <v>0</v>
      </c>
      <c r="AU246">
        <v>3645000</v>
      </c>
    </row>
    <row r="247" spans="1:47" x14ac:dyDescent="0.3">
      <c r="A247" s="1">
        <v>46202</v>
      </c>
      <c r="B247" t="s">
        <v>434</v>
      </c>
      <c r="C247">
        <v>1</v>
      </c>
      <c r="D247" t="s">
        <v>269</v>
      </c>
      <c r="E247" t="s">
        <v>132</v>
      </c>
      <c r="F247" t="s">
        <v>80</v>
      </c>
      <c r="G247">
        <v>7</v>
      </c>
      <c r="H247">
        <v>0</v>
      </c>
      <c r="I247">
        <v>413000</v>
      </c>
      <c r="J247">
        <v>0</v>
      </c>
      <c r="K247" t="s">
        <v>127</v>
      </c>
      <c r="L247" s="1">
        <v>46205</v>
      </c>
      <c r="N247" t="s">
        <v>106</v>
      </c>
      <c r="P247">
        <v>245</v>
      </c>
      <c r="Q247" t="s">
        <v>270</v>
      </c>
      <c r="R247" t="s">
        <v>83</v>
      </c>
      <c r="S247" t="s">
        <v>55</v>
      </c>
      <c r="T247" t="s">
        <v>56</v>
      </c>
      <c r="U247" t="s">
        <v>133</v>
      </c>
      <c r="V247" t="s">
        <v>109</v>
      </c>
      <c r="W247" t="s">
        <v>110</v>
      </c>
      <c r="X247">
        <v>350000</v>
      </c>
      <c r="Y247">
        <v>413000</v>
      </c>
      <c r="Z247" t="s">
        <v>134</v>
      </c>
      <c r="AA247" t="s">
        <v>73</v>
      </c>
      <c r="AB247" t="s">
        <v>88</v>
      </c>
      <c r="AC247" t="s">
        <v>83</v>
      </c>
      <c r="AD247" t="s">
        <v>118</v>
      </c>
      <c r="AE247">
        <v>0</v>
      </c>
      <c r="AG247">
        <v>0</v>
      </c>
      <c r="AH247" t="b">
        <v>1</v>
      </c>
      <c r="AI247" t="b">
        <v>0</v>
      </c>
      <c r="AL247" t="b">
        <v>0</v>
      </c>
      <c r="AM247" t="b">
        <v>0</v>
      </c>
      <c r="AN247">
        <v>0</v>
      </c>
      <c r="AO247">
        <v>0</v>
      </c>
      <c r="AP247">
        <v>0</v>
      </c>
      <c r="AQ247">
        <v>0</v>
      </c>
      <c r="AR247">
        <v>0</v>
      </c>
      <c r="AS247">
        <v>0</v>
      </c>
      <c r="AT247">
        <v>0</v>
      </c>
      <c r="AU247">
        <v>0</v>
      </c>
    </row>
    <row r="248" spans="1:47" x14ac:dyDescent="0.3">
      <c r="A248" s="1">
        <v>46083</v>
      </c>
      <c r="B248" t="s">
        <v>474</v>
      </c>
      <c r="C248">
        <v>3</v>
      </c>
      <c r="D248" t="s">
        <v>344</v>
      </c>
      <c r="E248" t="s">
        <v>65</v>
      </c>
      <c r="F248" t="s">
        <v>50</v>
      </c>
      <c r="G248">
        <v>29</v>
      </c>
      <c r="H248">
        <v>29</v>
      </c>
      <c r="I248">
        <v>2430000</v>
      </c>
      <c r="J248">
        <v>0.1</v>
      </c>
      <c r="K248" t="s">
        <v>51</v>
      </c>
      <c r="L248" s="1">
        <v>46084</v>
      </c>
      <c r="M248" s="1">
        <v>46084</v>
      </c>
      <c r="N248" t="s">
        <v>52</v>
      </c>
      <c r="P248">
        <v>246</v>
      </c>
      <c r="Q248" t="s">
        <v>345</v>
      </c>
      <c r="R248" t="s">
        <v>54</v>
      </c>
      <c r="S248" t="s">
        <v>84</v>
      </c>
      <c r="T248" t="s">
        <v>56</v>
      </c>
      <c r="U248" t="s">
        <v>70</v>
      </c>
      <c r="V248" t="s">
        <v>71</v>
      </c>
      <c r="W248" t="s">
        <v>72</v>
      </c>
      <c r="X248">
        <v>1800000</v>
      </c>
      <c r="Y248">
        <v>2430000</v>
      </c>
      <c r="Z248" t="s">
        <v>56</v>
      </c>
      <c r="AA248" t="s">
        <v>73</v>
      </c>
      <c r="AB248" t="s">
        <v>61</v>
      </c>
      <c r="AC248" t="s">
        <v>54</v>
      </c>
      <c r="AD248" t="s">
        <v>62</v>
      </c>
      <c r="AE248">
        <v>63423000</v>
      </c>
      <c r="AF248">
        <v>52200000</v>
      </c>
      <c r="AG248">
        <v>11223000</v>
      </c>
      <c r="AH248" t="b">
        <v>1</v>
      </c>
      <c r="AI248" t="b">
        <v>1</v>
      </c>
      <c r="AJ248">
        <v>1</v>
      </c>
      <c r="AK248">
        <v>0</v>
      </c>
      <c r="AL248" t="b">
        <v>1</v>
      </c>
      <c r="AM248" t="b">
        <v>0</v>
      </c>
      <c r="AN248">
        <v>63423000</v>
      </c>
      <c r="AO248">
        <v>11223000</v>
      </c>
      <c r="AP248">
        <v>29</v>
      </c>
      <c r="AQ248">
        <v>29</v>
      </c>
      <c r="AR248">
        <v>1</v>
      </c>
      <c r="AS248">
        <v>1</v>
      </c>
      <c r="AT248">
        <v>0</v>
      </c>
      <c r="AU248">
        <v>11223000</v>
      </c>
    </row>
    <row r="249" spans="1:47" x14ac:dyDescent="0.3">
      <c r="A249" s="1">
        <v>46050</v>
      </c>
      <c r="B249" t="s">
        <v>475</v>
      </c>
      <c r="C249">
        <v>1</v>
      </c>
      <c r="D249" t="s">
        <v>104</v>
      </c>
      <c r="E249" t="s">
        <v>160</v>
      </c>
      <c r="F249" t="s">
        <v>66</v>
      </c>
      <c r="G249">
        <v>11</v>
      </c>
      <c r="H249">
        <v>0</v>
      </c>
      <c r="I249">
        <v>1125000</v>
      </c>
      <c r="J249">
        <v>0.05</v>
      </c>
      <c r="K249" t="s">
        <v>127</v>
      </c>
      <c r="L249" s="1">
        <v>46055</v>
      </c>
      <c r="N249" t="s">
        <v>52</v>
      </c>
      <c r="P249">
        <v>247</v>
      </c>
      <c r="Q249" t="s">
        <v>107</v>
      </c>
      <c r="R249" t="s">
        <v>83</v>
      </c>
      <c r="S249" t="s">
        <v>55</v>
      </c>
      <c r="T249" t="s">
        <v>56</v>
      </c>
      <c r="U249" t="s">
        <v>161</v>
      </c>
      <c r="V249" t="s">
        <v>86</v>
      </c>
      <c r="W249" t="s">
        <v>87</v>
      </c>
      <c r="X249">
        <v>900000</v>
      </c>
      <c r="Y249">
        <v>1125000</v>
      </c>
      <c r="Z249" t="s">
        <v>56</v>
      </c>
      <c r="AA249" t="s">
        <v>60</v>
      </c>
      <c r="AB249" t="s">
        <v>74</v>
      </c>
      <c r="AC249" t="s">
        <v>75</v>
      </c>
      <c r="AD249" t="s">
        <v>94</v>
      </c>
      <c r="AE249">
        <v>0</v>
      </c>
      <c r="AG249">
        <v>0</v>
      </c>
      <c r="AH249" t="b">
        <v>1</v>
      </c>
      <c r="AI249" t="b">
        <v>0</v>
      </c>
      <c r="AL249" t="b">
        <v>0</v>
      </c>
      <c r="AM249" t="b">
        <v>0</v>
      </c>
      <c r="AN249">
        <v>0</v>
      </c>
      <c r="AO249">
        <v>0</v>
      </c>
      <c r="AP249">
        <v>0</v>
      </c>
      <c r="AQ249">
        <v>0</v>
      </c>
      <c r="AR249">
        <v>0</v>
      </c>
      <c r="AS249">
        <v>0</v>
      </c>
      <c r="AT249">
        <v>0</v>
      </c>
      <c r="AU249">
        <v>0</v>
      </c>
    </row>
    <row r="250" spans="1:47" x14ac:dyDescent="0.3">
      <c r="A250" s="1">
        <v>46162</v>
      </c>
      <c r="B250" t="s">
        <v>476</v>
      </c>
      <c r="C250">
        <v>1</v>
      </c>
      <c r="D250" t="s">
        <v>215</v>
      </c>
      <c r="E250" t="s">
        <v>203</v>
      </c>
      <c r="F250" t="s">
        <v>80</v>
      </c>
      <c r="G250">
        <v>29</v>
      </c>
      <c r="H250">
        <v>29</v>
      </c>
      <c r="I250">
        <v>2124000</v>
      </c>
      <c r="J250">
        <v>0</v>
      </c>
      <c r="K250" t="s">
        <v>51</v>
      </c>
      <c r="L250" s="1">
        <v>46165</v>
      </c>
      <c r="M250" s="1">
        <v>46165</v>
      </c>
      <c r="N250" t="s">
        <v>106</v>
      </c>
      <c r="P250">
        <v>248</v>
      </c>
      <c r="Q250" t="s">
        <v>217</v>
      </c>
      <c r="R250" t="s">
        <v>54</v>
      </c>
      <c r="S250" t="s">
        <v>69</v>
      </c>
      <c r="T250" t="s">
        <v>218</v>
      </c>
      <c r="U250" t="s">
        <v>204</v>
      </c>
      <c r="V250" t="s">
        <v>109</v>
      </c>
      <c r="W250" t="s">
        <v>110</v>
      </c>
      <c r="X250">
        <v>1800000</v>
      </c>
      <c r="Y250">
        <v>2124000</v>
      </c>
      <c r="Z250" t="s">
        <v>56</v>
      </c>
      <c r="AA250" t="s">
        <v>73</v>
      </c>
      <c r="AB250" t="s">
        <v>88</v>
      </c>
      <c r="AC250" t="s">
        <v>83</v>
      </c>
      <c r="AD250" t="s">
        <v>76</v>
      </c>
      <c r="AE250">
        <v>61596000</v>
      </c>
      <c r="AF250">
        <v>52200000</v>
      </c>
      <c r="AG250">
        <v>9396000</v>
      </c>
      <c r="AH250" t="b">
        <v>1</v>
      </c>
      <c r="AI250" t="b">
        <v>1</v>
      </c>
      <c r="AJ250">
        <v>1</v>
      </c>
      <c r="AK250">
        <v>0</v>
      </c>
      <c r="AL250" t="b">
        <v>1</v>
      </c>
      <c r="AM250" t="b">
        <v>0</v>
      </c>
      <c r="AN250">
        <v>61596000</v>
      </c>
      <c r="AO250">
        <v>9396000</v>
      </c>
      <c r="AP250">
        <v>29</v>
      </c>
      <c r="AQ250">
        <v>29</v>
      </c>
      <c r="AR250">
        <v>1</v>
      </c>
      <c r="AS250">
        <v>1</v>
      </c>
      <c r="AT250">
        <v>0</v>
      </c>
      <c r="AU250">
        <v>9396000</v>
      </c>
    </row>
    <row r="251" spans="1:47" x14ac:dyDescent="0.3">
      <c r="A251" s="1">
        <v>46041</v>
      </c>
      <c r="B251" t="s">
        <v>477</v>
      </c>
      <c r="C251">
        <v>2</v>
      </c>
      <c r="D251" t="s">
        <v>104</v>
      </c>
      <c r="E251" t="s">
        <v>311</v>
      </c>
      <c r="F251" t="s">
        <v>114</v>
      </c>
      <c r="G251">
        <v>6</v>
      </c>
      <c r="H251">
        <v>6</v>
      </c>
      <c r="I251">
        <v>437000</v>
      </c>
      <c r="J251">
        <v>0.65</v>
      </c>
      <c r="K251" t="s">
        <v>51</v>
      </c>
      <c r="L251" s="1">
        <v>46042</v>
      </c>
      <c r="M251" s="1">
        <v>46043</v>
      </c>
      <c r="N251" t="s">
        <v>81</v>
      </c>
      <c r="O251" t="s">
        <v>478</v>
      </c>
      <c r="P251">
        <v>249</v>
      </c>
      <c r="Q251" t="s">
        <v>107</v>
      </c>
      <c r="R251" t="s">
        <v>83</v>
      </c>
      <c r="S251" t="s">
        <v>55</v>
      </c>
      <c r="T251" t="s">
        <v>56</v>
      </c>
      <c r="U251" t="s">
        <v>312</v>
      </c>
      <c r="V251" t="s">
        <v>86</v>
      </c>
      <c r="W251" t="s">
        <v>87</v>
      </c>
      <c r="X251">
        <v>350000</v>
      </c>
      <c r="Y251">
        <v>437000</v>
      </c>
      <c r="Z251" t="s">
        <v>56</v>
      </c>
      <c r="AA251" t="s">
        <v>60</v>
      </c>
      <c r="AB251" t="s">
        <v>117</v>
      </c>
      <c r="AC251" t="s">
        <v>83</v>
      </c>
      <c r="AD251" t="s">
        <v>94</v>
      </c>
      <c r="AE251">
        <v>917699.99999999988</v>
      </c>
      <c r="AF251">
        <v>2100000</v>
      </c>
      <c r="AG251">
        <v>-1182300</v>
      </c>
      <c r="AH251" t="b">
        <v>1</v>
      </c>
      <c r="AI251" t="b">
        <v>1</v>
      </c>
      <c r="AJ251">
        <v>0</v>
      </c>
      <c r="AK251">
        <v>1</v>
      </c>
      <c r="AL251" t="b">
        <v>1</v>
      </c>
      <c r="AM251" t="b">
        <v>0</v>
      </c>
      <c r="AN251">
        <v>917699.99999999988</v>
      </c>
      <c r="AO251">
        <v>-1182300</v>
      </c>
      <c r="AP251">
        <v>6</v>
      </c>
      <c r="AQ251">
        <v>6</v>
      </c>
      <c r="AR251">
        <v>0</v>
      </c>
      <c r="AS251">
        <v>1</v>
      </c>
      <c r="AT251">
        <v>0</v>
      </c>
      <c r="AU251">
        <v>-1182300</v>
      </c>
    </row>
    <row r="252" spans="1:47" x14ac:dyDescent="0.3">
      <c r="A252" s="1">
        <v>46178</v>
      </c>
      <c r="B252" t="s">
        <v>479</v>
      </c>
      <c r="C252">
        <v>2</v>
      </c>
      <c r="D252" t="s">
        <v>64</v>
      </c>
      <c r="E252" t="s">
        <v>236</v>
      </c>
      <c r="F252" t="s">
        <v>50</v>
      </c>
      <c r="G252">
        <v>-7</v>
      </c>
      <c r="H252">
        <v>-7</v>
      </c>
      <c r="I252">
        <v>448000</v>
      </c>
      <c r="J252">
        <v>0.1</v>
      </c>
      <c r="K252" t="s">
        <v>216</v>
      </c>
      <c r="L252" s="1">
        <v>46185</v>
      </c>
      <c r="M252" s="1">
        <v>46188</v>
      </c>
      <c r="N252" t="s">
        <v>52</v>
      </c>
      <c r="P252">
        <v>250</v>
      </c>
      <c r="Q252" t="s">
        <v>68</v>
      </c>
      <c r="R252" t="s">
        <v>54</v>
      </c>
      <c r="S252" t="s">
        <v>69</v>
      </c>
      <c r="T252" t="s">
        <v>56</v>
      </c>
      <c r="U252" t="s">
        <v>237</v>
      </c>
      <c r="V252" t="s">
        <v>138</v>
      </c>
      <c r="W252" t="s">
        <v>139</v>
      </c>
      <c r="X252">
        <v>350000</v>
      </c>
      <c r="Y252">
        <v>448000</v>
      </c>
      <c r="Z252" t="s">
        <v>134</v>
      </c>
      <c r="AA252" t="s">
        <v>73</v>
      </c>
      <c r="AB252" t="s">
        <v>61</v>
      </c>
      <c r="AC252" t="s">
        <v>54</v>
      </c>
      <c r="AD252" t="s">
        <v>118</v>
      </c>
      <c r="AE252">
        <v>-2822400</v>
      </c>
      <c r="AF252">
        <v>-2450000</v>
      </c>
      <c r="AG252">
        <v>-372400</v>
      </c>
      <c r="AH252" t="b">
        <v>1</v>
      </c>
      <c r="AI252" t="b">
        <v>1</v>
      </c>
      <c r="AJ252">
        <v>0</v>
      </c>
      <c r="AK252">
        <v>3</v>
      </c>
      <c r="AL252" t="b">
        <v>0</v>
      </c>
      <c r="AM252" t="b">
        <v>1</v>
      </c>
      <c r="AN252">
        <v>-2822400</v>
      </c>
      <c r="AO252">
        <v>-372400</v>
      </c>
      <c r="AP252">
        <v>0</v>
      </c>
      <c r="AQ252">
        <v>0</v>
      </c>
      <c r="AR252">
        <v>0</v>
      </c>
      <c r="AS252">
        <v>1</v>
      </c>
      <c r="AT252">
        <v>-2822400</v>
      </c>
      <c r="AU252">
        <v>-372400</v>
      </c>
    </row>
    <row r="253" spans="1:47" x14ac:dyDescent="0.3">
      <c r="A253" s="1">
        <v>46192</v>
      </c>
      <c r="B253" t="s">
        <v>480</v>
      </c>
      <c r="C253">
        <v>3</v>
      </c>
      <c r="D253" t="s">
        <v>326</v>
      </c>
      <c r="E253" t="s">
        <v>236</v>
      </c>
      <c r="F253" t="s">
        <v>114</v>
      </c>
      <c r="G253">
        <v>26</v>
      </c>
      <c r="H253">
        <v>26</v>
      </c>
      <c r="I253">
        <v>448000</v>
      </c>
      <c r="J253">
        <v>0</v>
      </c>
      <c r="K253" t="s">
        <v>51</v>
      </c>
      <c r="L253" s="1">
        <v>46195</v>
      </c>
      <c r="M253" s="1">
        <v>46194</v>
      </c>
      <c r="N253" t="s">
        <v>67</v>
      </c>
      <c r="P253">
        <v>251</v>
      </c>
      <c r="Q253" t="s">
        <v>327</v>
      </c>
      <c r="R253" t="s">
        <v>54</v>
      </c>
      <c r="S253" t="s">
        <v>69</v>
      </c>
      <c r="T253" t="s">
        <v>56</v>
      </c>
      <c r="U253" t="s">
        <v>237</v>
      </c>
      <c r="V253" t="s">
        <v>138</v>
      </c>
      <c r="W253" t="s">
        <v>139</v>
      </c>
      <c r="X253">
        <v>350000</v>
      </c>
      <c r="Y253">
        <v>448000</v>
      </c>
      <c r="Z253" t="s">
        <v>134</v>
      </c>
      <c r="AA253" t="s">
        <v>73</v>
      </c>
      <c r="AB253" t="s">
        <v>117</v>
      </c>
      <c r="AC253" t="s">
        <v>83</v>
      </c>
      <c r="AD253" t="s">
        <v>118</v>
      </c>
      <c r="AE253">
        <v>11648000</v>
      </c>
      <c r="AF253">
        <v>9100000</v>
      </c>
      <c r="AG253">
        <v>2548000</v>
      </c>
      <c r="AH253" t="b">
        <v>1</v>
      </c>
      <c r="AI253" t="b">
        <v>1</v>
      </c>
      <c r="AJ253">
        <v>1</v>
      </c>
      <c r="AK253">
        <v>-1</v>
      </c>
      <c r="AL253" t="b">
        <v>1</v>
      </c>
      <c r="AM253" t="b">
        <v>0</v>
      </c>
      <c r="AN253">
        <v>11648000</v>
      </c>
      <c r="AO253">
        <v>2548000</v>
      </c>
      <c r="AP253">
        <v>26</v>
      </c>
      <c r="AQ253">
        <v>26</v>
      </c>
      <c r="AR253">
        <v>1</v>
      </c>
      <c r="AS253">
        <v>1</v>
      </c>
      <c r="AT253">
        <v>0</v>
      </c>
      <c r="AU253">
        <v>2548000</v>
      </c>
    </row>
    <row r="254" spans="1:47" x14ac:dyDescent="0.3">
      <c r="A254" s="1">
        <v>46045</v>
      </c>
      <c r="B254" t="s">
        <v>279</v>
      </c>
      <c r="C254">
        <v>4</v>
      </c>
      <c r="D254" t="s">
        <v>288</v>
      </c>
      <c r="E254" t="s">
        <v>236</v>
      </c>
      <c r="F254" t="s">
        <v>114</v>
      </c>
      <c r="G254">
        <v>14</v>
      </c>
      <c r="H254">
        <v>14</v>
      </c>
      <c r="I254">
        <v>448000</v>
      </c>
      <c r="J254">
        <v>0.05</v>
      </c>
      <c r="K254" t="s">
        <v>51</v>
      </c>
      <c r="L254" s="1">
        <v>46046</v>
      </c>
      <c r="M254" s="1">
        <v>46046</v>
      </c>
      <c r="N254" t="s">
        <v>67</v>
      </c>
      <c r="P254">
        <v>252</v>
      </c>
      <c r="Q254" t="s">
        <v>289</v>
      </c>
      <c r="R254" t="s">
        <v>83</v>
      </c>
      <c r="S254" t="s">
        <v>69</v>
      </c>
      <c r="T254" t="s">
        <v>56</v>
      </c>
      <c r="U254" t="s">
        <v>237</v>
      </c>
      <c r="V254" t="s">
        <v>138</v>
      </c>
      <c r="W254" t="s">
        <v>139</v>
      </c>
      <c r="X254">
        <v>350000</v>
      </c>
      <c r="Y254">
        <v>448000</v>
      </c>
      <c r="Z254" t="s">
        <v>134</v>
      </c>
      <c r="AA254" t="s">
        <v>73</v>
      </c>
      <c r="AB254" t="s">
        <v>117</v>
      </c>
      <c r="AC254" t="s">
        <v>83</v>
      </c>
      <c r="AD254" t="s">
        <v>94</v>
      </c>
      <c r="AE254">
        <v>5958400</v>
      </c>
      <c r="AF254">
        <v>4900000</v>
      </c>
      <c r="AG254">
        <v>1058400</v>
      </c>
      <c r="AH254" t="b">
        <v>1</v>
      </c>
      <c r="AI254" t="b">
        <v>1</v>
      </c>
      <c r="AJ254">
        <v>1</v>
      </c>
      <c r="AK254">
        <v>0</v>
      </c>
      <c r="AL254" t="b">
        <v>1</v>
      </c>
      <c r="AM254" t="b">
        <v>0</v>
      </c>
      <c r="AN254">
        <v>5958400</v>
      </c>
      <c r="AO254">
        <v>1058400</v>
      </c>
      <c r="AP254">
        <v>14</v>
      </c>
      <c r="AQ254">
        <v>14</v>
      </c>
      <c r="AR254">
        <v>1</v>
      </c>
      <c r="AS254">
        <v>1</v>
      </c>
      <c r="AT254">
        <v>0</v>
      </c>
      <c r="AU254">
        <v>1058400</v>
      </c>
    </row>
    <row r="255" spans="1:47" x14ac:dyDescent="0.3">
      <c r="A255" s="1">
        <v>46143</v>
      </c>
      <c r="B255" t="s">
        <v>63</v>
      </c>
      <c r="C255">
        <v>3</v>
      </c>
      <c r="D255" t="s">
        <v>200</v>
      </c>
      <c r="E255" t="s">
        <v>189</v>
      </c>
      <c r="F255" t="s">
        <v>66</v>
      </c>
      <c r="G255">
        <v>12</v>
      </c>
      <c r="H255">
        <v>12</v>
      </c>
      <c r="I255">
        <v>312000</v>
      </c>
      <c r="J255">
        <v>0</v>
      </c>
      <c r="K255" t="s">
        <v>51</v>
      </c>
      <c r="L255" s="1">
        <v>46148</v>
      </c>
      <c r="M255" s="1">
        <v>46147</v>
      </c>
      <c r="N255" t="s">
        <v>52</v>
      </c>
      <c r="P255">
        <v>253</v>
      </c>
      <c r="Q255" t="s">
        <v>201</v>
      </c>
      <c r="R255" t="s">
        <v>75</v>
      </c>
      <c r="S255" t="s">
        <v>55</v>
      </c>
      <c r="T255" t="s">
        <v>56</v>
      </c>
      <c r="U255" t="s">
        <v>191</v>
      </c>
      <c r="V255" t="s">
        <v>86</v>
      </c>
      <c r="W255" t="s">
        <v>87</v>
      </c>
      <c r="X255">
        <v>250000</v>
      </c>
      <c r="Y255">
        <v>312000</v>
      </c>
      <c r="Z255" t="s">
        <v>134</v>
      </c>
      <c r="AA255" t="s">
        <v>73</v>
      </c>
      <c r="AB255" t="s">
        <v>74</v>
      </c>
      <c r="AC255" t="s">
        <v>75</v>
      </c>
      <c r="AD255" t="s">
        <v>76</v>
      </c>
      <c r="AE255">
        <v>3744000</v>
      </c>
      <c r="AF255">
        <v>3000000</v>
      </c>
      <c r="AG255">
        <v>744000</v>
      </c>
      <c r="AH255" t="b">
        <v>1</v>
      </c>
      <c r="AI255" t="b">
        <v>1</v>
      </c>
      <c r="AJ255">
        <v>1</v>
      </c>
      <c r="AK255">
        <v>-1</v>
      </c>
      <c r="AL255" t="b">
        <v>1</v>
      </c>
      <c r="AM255" t="b">
        <v>0</v>
      </c>
      <c r="AN255">
        <v>3744000</v>
      </c>
      <c r="AO255">
        <v>744000</v>
      </c>
      <c r="AP255">
        <v>12</v>
      </c>
      <c r="AQ255">
        <v>12</v>
      </c>
      <c r="AR255">
        <v>1</v>
      </c>
      <c r="AS255">
        <v>1</v>
      </c>
      <c r="AT255">
        <v>0</v>
      </c>
      <c r="AU255">
        <v>744000</v>
      </c>
    </row>
    <row r="256" spans="1:47" x14ac:dyDescent="0.3">
      <c r="A256" s="1">
        <v>46135</v>
      </c>
      <c r="B256" t="s">
        <v>463</v>
      </c>
      <c r="C256">
        <v>3</v>
      </c>
      <c r="D256" t="s">
        <v>146</v>
      </c>
      <c r="E256" t="s">
        <v>113</v>
      </c>
      <c r="F256" t="s">
        <v>114</v>
      </c>
      <c r="G256">
        <v>10</v>
      </c>
      <c r="H256">
        <v>1</v>
      </c>
      <c r="I256">
        <v>648000</v>
      </c>
      <c r="J256">
        <v>0</v>
      </c>
      <c r="K256" t="s">
        <v>98</v>
      </c>
      <c r="L256" s="1">
        <v>46145</v>
      </c>
      <c r="N256" t="s">
        <v>52</v>
      </c>
      <c r="P256">
        <v>254</v>
      </c>
      <c r="Q256" t="s">
        <v>148</v>
      </c>
      <c r="R256" t="s">
        <v>75</v>
      </c>
      <c r="S256" t="s">
        <v>69</v>
      </c>
      <c r="T256" t="s">
        <v>56</v>
      </c>
      <c r="U256" t="s">
        <v>116</v>
      </c>
      <c r="V256" t="s">
        <v>71</v>
      </c>
      <c r="W256" t="s">
        <v>72</v>
      </c>
      <c r="X256">
        <v>480000</v>
      </c>
      <c r="Y256">
        <v>648000</v>
      </c>
      <c r="Z256" t="s">
        <v>56</v>
      </c>
      <c r="AA256" t="s">
        <v>60</v>
      </c>
      <c r="AB256" t="s">
        <v>117</v>
      </c>
      <c r="AC256" t="s">
        <v>83</v>
      </c>
      <c r="AD256" t="s">
        <v>130</v>
      </c>
      <c r="AE256">
        <v>648000</v>
      </c>
      <c r="AF256">
        <v>480000</v>
      </c>
      <c r="AG256">
        <v>168000</v>
      </c>
      <c r="AH256" t="b">
        <v>1</v>
      </c>
      <c r="AI256" t="b">
        <v>0</v>
      </c>
      <c r="AL256" t="b">
        <v>1</v>
      </c>
      <c r="AM256" t="b">
        <v>0</v>
      </c>
      <c r="AN256">
        <v>648000</v>
      </c>
      <c r="AO256">
        <v>168000</v>
      </c>
      <c r="AP256">
        <v>1</v>
      </c>
      <c r="AQ256">
        <v>10</v>
      </c>
      <c r="AR256">
        <v>0</v>
      </c>
      <c r="AS256">
        <v>0</v>
      </c>
      <c r="AT256">
        <v>0</v>
      </c>
      <c r="AU256">
        <v>168000</v>
      </c>
    </row>
    <row r="257" spans="1:47" x14ac:dyDescent="0.3">
      <c r="A257" s="1">
        <v>46161</v>
      </c>
      <c r="B257" t="s">
        <v>481</v>
      </c>
      <c r="C257">
        <v>2</v>
      </c>
      <c r="D257" t="s">
        <v>48</v>
      </c>
      <c r="E257" t="s">
        <v>220</v>
      </c>
      <c r="F257" t="s">
        <v>66</v>
      </c>
      <c r="G257">
        <v>34</v>
      </c>
      <c r="H257">
        <v>31</v>
      </c>
      <c r="I257">
        <v>234000</v>
      </c>
      <c r="J257">
        <v>0.05</v>
      </c>
      <c r="K257" t="s">
        <v>51</v>
      </c>
      <c r="L257" s="1">
        <v>46168</v>
      </c>
      <c r="M257" s="1">
        <v>46168</v>
      </c>
      <c r="N257" t="s">
        <v>67</v>
      </c>
      <c r="P257">
        <v>255</v>
      </c>
      <c r="Q257" t="s">
        <v>53</v>
      </c>
      <c r="R257" t="s">
        <v>54</v>
      </c>
      <c r="S257" t="s">
        <v>55</v>
      </c>
      <c r="T257" t="s">
        <v>56</v>
      </c>
      <c r="U257" t="s">
        <v>221</v>
      </c>
      <c r="V257" t="s">
        <v>58</v>
      </c>
      <c r="W257" t="s">
        <v>59</v>
      </c>
      <c r="X257">
        <v>180000</v>
      </c>
      <c r="Y257">
        <v>234000</v>
      </c>
      <c r="Z257" t="s">
        <v>56</v>
      </c>
      <c r="AA257" t="s">
        <v>60</v>
      </c>
      <c r="AB257" t="s">
        <v>74</v>
      </c>
      <c r="AC257" t="s">
        <v>75</v>
      </c>
      <c r="AD257" t="s">
        <v>76</v>
      </c>
      <c r="AE257">
        <v>6891300</v>
      </c>
      <c r="AF257">
        <v>5580000</v>
      </c>
      <c r="AG257">
        <v>1311300</v>
      </c>
      <c r="AH257" t="b">
        <v>1</v>
      </c>
      <c r="AI257" t="b">
        <v>1</v>
      </c>
      <c r="AJ257">
        <v>1</v>
      </c>
      <c r="AK257">
        <v>0</v>
      </c>
      <c r="AL257" t="b">
        <v>1</v>
      </c>
      <c r="AM257" t="b">
        <v>0</v>
      </c>
      <c r="AN257">
        <v>6891300</v>
      </c>
      <c r="AO257">
        <v>1311300</v>
      </c>
      <c r="AP257">
        <v>31</v>
      </c>
      <c r="AQ257">
        <v>34</v>
      </c>
      <c r="AR257">
        <v>1</v>
      </c>
      <c r="AS257">
        <v>1</v>
      </c>
      <c r="AT257">
        <v>0</v>
      </c>
      <c r="AU257">
        <v>1311300</v>
      </c>
    </row>
    <row r="258" spans="1:47" x14ac:dyDescent="0.3">
      <c r="A258" s="1">
        <v>46099</v>
      </c>
      <c r="B258" t="s">
        <v>415</v>
      </c>
      <c r="C258">
        <v>4</v>
      </c>
      <c r="D258" t="s">
        <v>90</v>
      </c>
      <c r="E258" t="s">
        <v>142</v>
      </c>
      <c r="F258" t="s">
        <v>80</v>
      </c>
      <c r="G258">
        <v>8</v>
      </c>
      <c r="H258">
        <v>0</v>
      </c>
      <c r="I258">
        <v>413000</v>
      </c>
      <c r="J258">
        <v>0.05</v>
      </c>
      <c r="K258" t="s">
        <v>127</v>
      </c>
      <c r="L258" s="1">
        <v>46101</v>
      </c>
      <c r="N258" t="s">
        <v>81</v>
      </c>
      <c r="P258">
        <v>256</v>
      </c>
      <c r="Q258" t="s">
        <v>92</v>
      </c>
      <c r="R258" t="s">
        <v>75</v>
      </c>
      <c r="S258" t="s">
        <v>84</v>
      </c>
      <c r="T258" t="s">
        <v>56</v>
      </c>
      <c r="U258" t="s">
        <v>144</v>
      </c>
      <c r="V258" t="s">
        <v>109</v>
      </c>
      <c r="W258" t="s">
        <v>110</v>
      </c>
      <c r="X258">
        <v>350000</v>
      </c>
      <c r="Y258">
        <v>413000</v>
      </c>
      <c r="Z258" t="s">
        <v>56</v>
      </c>
      <c r="AA258" t="s">
        <v>129</v>
      </c>
      <c r="AB258" t="s">
        <v>88</v>
      </c>
      <c r="AC258" t="s">
        <v>83</v>
      </c>
      <c r="AD258" t="s">
        <v>62</v>
      </c>
      <c r="AE258">
        <v>0</v>
      </c>
      <c r="AG258">
        <v>0</v>
      </c>
      <c r="AH258" t="b">
        <v>1</v>
      </c>
      <c r="AI258" t="b">
        <v>0</v>
      </c>
      <c r="AL258" t="b">
        <v>0</v>
      </c>
      <c r="AM258" t="b">
        <v>0</v>
      </c>
      <c r="AN258">
        <v>0</v>
      </c>
      <c r="AO258">
        <v>0</v>
      </c>
      <c r="AP258">
        <v>0</v>
      </c>
      <c r="AQ258">
        <v>0</v>
      </c>
      <c r="AR258">
        <v>0</v>
      </c>
      <c r="AS258">
        <v>0</v>
      </c>
      <c r="AT258">
        <v>0</v>
      </c>
      <c r="AU258">
        <v>0</v>
      </c>
    </row>
    <row r="259" spans="1:47" x14ac:dyDescent="0.3">
      <c r="A259" s="1">
        <v>46077</v>
      </c>
      <c r="B259" t="s">
        <v>482</v>
      </c>
      <c r="C259">
        <v>2</v>
      </c>
      <c r="D259" t="s">
        <v>90</v>
      </c>
      <c r="E259" t="s">
        <v>126</v>
      </c>
      <c r="F259" t="s">
        <v>114</v>
      </c>
      <c r="G259">
        <v>28</v>
      </c>
      <c r="H259">
        <v>28</v>
      </c>
      <c r="I259">
        <v>845000</v>
      </c>
      <c r="J259">
        <v>0.08</v>
      </c>
      <c r="K259" t="s">
        <v>51</v>
      </c>
      <c r="L259" s="1">
        <v>46080</v>
      </c>
      <c r="M259" s="1">
        <v>46080</v>
      </c>
      <c r="N259" t="s">
        <v>106</v>
      </c>
      <c r="P259">
        <v>257</v>
      </c>
      <c r="Q259" t="s">
        <v>92</v>
      </c>
      <c r="R259" t="s">
        <v>75</v>
      </c>
      <c r="S259" t="s">
        <v>84</v>
      </c>
      <c r="T259" t="s">
        <v>56</v>
      </c>
      <c r="U259" t="s">
        <v>128</v>
      </c>
      <c r="V259" t="s">
        <v>58</v>
      </c>
      <c r="W259" t="s">
        <v>59</v>
      </c>
      <c r="X259">
        <v>650000</v>
      </c>
      <c r="Y259">
        <v>845000</v>
      </c>
      <c r="Z259" t="s">
        <v>56</v>
      </c>
      <c r="AA259" t="s">
        <v>129</v>
      </c>
      <c r="AB259" t="s">
        <v>117</v>
      </c>
      <c r="AC259" t="s">
        <v>83</v>
      </c>
      <c r="AD259" t="s">
        <v>158</v>
      </c>
      <c r="AE259">
        <v>21767200</v>
      </c>
      <c r="AF259">
        <v>18200000</v>
      </c>
      <c r="AG259">
        <v>3567200</v>
      </c>
      <c r="AH259" t="b">
        <v>1</v>
      </c>
      <c r="AI259" t="b">
        <v>1</v>
      </c>
      <c r="AJ259">
        <v>1</v>
      </c>
      <c r="AK259">
        <v>0</v>
      </c>
      <c r="AL259" t="b">
        <v>1</v>
      </c>
      <c r="AM259" t="b">
        <v>0</v>
      </c>
      <c r="AN259">
        <v>21767200</v>
      </c>
      <c r="AO259">
        <v>3567200</v>
      </c>
      <c r="AP259">
        <v>28</v>
      </c>
      <c r="AQ259">
        <v>28</v>
      </c>
      <c r="AR259">
        <v>1</v>
      </c>
      <c r="AS259">
        <v>1</v>
      </c>
      <c r="AT259">
        <v>0</v>
      </c>
      <c r="AU259">
        <v>3567200</v>
      </c>
    </row>
    <row r="260" spans="1:47" x14ac:dyDescent="0.3">
      <c r="A260" s="1">
        <v>46045</v>
      </c>
      <c r="B260" t="s">
        <v>483</v>
      </c>
      <c r="C260">
        <v>4</v>
      </c>
      <c r="D260" t="s">
        <v>48</v>
      </c>
      <c r="E260" t="s">
        <v>132</v>
      </c>
      <c r="F260" t="s">
        <v>50</v>
      </c>
      <c r="G260">
        <v>34</v>
      </c>
      <c r="H260">
        <v>33</v>
      </c>
      <c r="I260">
        <v>413000</v>
      </c>
      <c r="J260">
        <v>0.08</v>
      </c>
      <c r="K260" t="s">
        <v>51</v>
      </c>
      <c r="L260" s="1">
        <v>46052</v>
      </c>
      <c r="M260" s="1">
        <v>46054</v>
      </c>
      <c r="N260" t="s">
        <v>67</v>
      </c>
      <c r="P260">
        <v>258</v>
      </c>
      <c r="Q260" t="s">
        <v>53</v>
      </c>
      <c r="R260" t="s">
        <v>54</v>
      </c>
      <c r="S260" t="s">
        <v>55</v>
      </c>
      <c r="T260" t="s">
        <v>56</v>
      </c>
      <c r="U260" t="s">
        <v>133</v>
      </c>
      <c r="V260" t="s">
        <v>109</v>
      </c>
      <c r="W260" t="s">
        <v>110</v>
      </c>
      <c r="X260">
        <v>350000</v>
      </c>
      <c r="Y260">
        <v>413000</v>
      </c>
      <c r="Z260" t="s">
        <v>134</v>
      </c>
      <c r="AA260" t="s">
        <v>73</v>
      </c>
      <c r="AB260" t="s">
        <v>61</v>
      </c>
      <c r="AC260" t="s">
        <v>54</v>
      </c>
      <c r="AD260" t="s">
        <v>94</v>
      </c>
      <c r="AE260">
        <v>12538680</v>
      </c>
      <c r="AF260">
        <v>11550000</v>
      </c>
      <c r="AG260">
        <v>988680</v>
      </c>
      <c r="AH260" t="b">
        <v>1</v>
      </c>
      <c r="AI260" t="b">
        <v>1</v>
      </c>
      <c r="AJ260">
        <v>0</v>
      </c>
      <c r="AK260">
        <v>2</v>
      </c>
      <c r="AL260" t="b">
        <v>1</v>
      </c>
      <c r="AM260" t="b">
        <v>0</v>
      </c>
      <c r="AN260">
        <v>12538680</v>
      </c>
      <c r="AO260">
        <v>988680</v>
      </c>
      <c r="AP260">
        <v>33</v>
      </c>
      <c r="AQ260">
        <v>34</v>
      </c>
      <c r="AR260">
        <v>0</v>
      </c>
      <c r="AS260">
        <v>1</v>
      </c>
      <c r="AT260">
        <v>0</v>
      </c>
      <c r="AU260">
        <v>988680</v>
      </c>
    </row>
    <row r="261" spans="1:47" x14ac:dyDescent="0.3">
      <c r="A261" s="1">
        <v>46051</v>
      </c>
      <c r="B261" t="s">
        <v>484</v>
      </c>
      <c r="C261">
        <v>2</v>
      </c>
      <c r="D261" t="s">
        <v>250</v>
      </c>
      <c r="E261" t="s">
        <v>236</v>
      </c>
      <c r="F261" t="s">
        <v>114</v>
      </c>
      <c r="G261">
        <v>7</v>
      </c>
      <c r="H261">
        <v>6</v>
      </c>
      <c r="I261">
        <v>448000</v>
      </c>
      <c r="J261">
        <v>0.08</v>
      </c>
      <c r="K261" t="s">
        <v>98</v>
      </c>
      <c r="L261" s="1">
        <v>46054</v>
      </c>
      <c r="N261" t="s">
        <v>67</v>
      </c>
      <c r="P261">
        <v>259</v>
      </c>
      <c r="Q261" t="s">
        <v>251</v>
      </c>
      <c r="R261" t="s">
        <v>54</v>
      </c>
      <c r="S261" t="s">
        <v>123</v>
      </c>
      <c r="T261" t="s">
        <v>56</v>
      </c>
      <c r="U261" t="s">
        <v>237</v>
      </c>
      <c r="V261" t="s">
        <v>138</v>
      </c>
      <c r="W261" t="s">
        <v>139</v>
      </c>
      <c r="X261">
        <v>350000</v>
      </c>
      <c r="Y261">
        <v>448000</v>
      </c>
      <c r="Z261" t="s">
        <v>134</v>
      </c>
      <c r="AA261" t="s">
        <v>73</v>
      </c>
      <c r="AB261" t="s">
        <v>117</v>
      </c>
      <c r="AC261" t="s">
        <v>83</v>
      </c>
      <c r="AD261" t="s">
        <v>94</v>
      </c>
      <c r="AE261">
        <v>2472960</v>
      </c>
      <c r="AF261">
        <v>2100000</v>
      </c>
      <c r="AG261">
        <v>372960</v>
      </c>
      <c r="AH261" t="b">
        <v>1</v>
      </c>
      <c r="AI261" t="b">
        <v>0</v>
      </c>
      <c r="AL261" t="b">
        <v>1</v>
      </c>
      <c r="AM261" t="b">
        <v>0</v>
      </c>
      <c r="AN261">
        <v>2472960</v>
      </c>
      <c r="AO261">
        <v>372960</v>
      </c>
      <c r="AP261">
        <v>6</v>
      </c>
      <c r="AQ261">
        <v>7</v>
      </c>
      <c r="AR261">
        <v>0</v>
      </c>
      <c r="AS261">
        <v>0</v>
      </c>
      <c r="AT261">
        <v>0</v>
      </c>
      <c r="AU261">
        <v>372960</v>
      </c>
    </row>
    <row r="262" spans="1:47" x14ac:dyDescent="0.3">
      <c r="A262" s="1">
        <v>46090</v>
      </c>
      <c r="B262" t="s">
        <v>485</v>
      </c>
      <c r="C262">
        <v>4</v>
      </c>
      <c r="D262" t="s">
        <v>185</v>
      </c>
      <c r="E262" t="s">
        <v>273</v>
      </c>
      <c r="F262" t="s">
        <v>114</v>
      </c>
      <c r="G262">
        <v>12</v>
      </c>
      <c r="H262">
        <v>11</v>
      </c>
      <c r="I262">
        <v>2304000</v>
      </c>
      <c r="J262">
        <v>0.08</v>
      </c>
      <c r="K262" t="s">
        <v>51</v>
      </c>
      <c r="L262" s="1">
        <v>46100</v>
      </c>
      <c r="M262" s="1">
        <v>46103</v>
      </c>
      <c r="N262" t="s">
        <v>67</v>
      </c>
      <c r="P262">
        <v>260</v>
      </c>
      <c r="Q262" t="s">
        <v>186</v>
      </c>
      <c r="R262" t="s">
        <v>54</v>
      </c>
      <c r="S262" t="s">
        <v>55</v>
      </c>
      <c r="T262" t="s">
        <v>56</v>
      </c>
      <c r="U262" t="s">
        <v>274</v>
      </c>
      <c r="V262" t="s">
        <v>138</v>
      </c>
      <c r="W262" t="s">
        <v>139</v>
      </c>
      <c r="X262">
        <v>1800000</v>
      </c>
      <c r="Y262">
        <v>2304000</v>
      </c>
      <c r="Z262" t="s">
        <v>56</v>
      </c>
      <c r="AA262" t="s">
        <v>73</v>
      </c>
      <c r="AB262" t="s">
        <v>117</v>
      </c>
      <c r="AC262" t="s">
        <v>83</v>
      </c>
      <c r="AD262" t="s">
        <v>62</v>
      </c>
      <c r="AE262">
        <v>23316480</v>
      </c>
      <c r="AF262">
        <v>19800000</v>
      </c>
      <c r="AG262">
        <v>3516480</v>
      </c>
      <c r="AH262" t="b">
        <v>1</v>
      </c>
      <c r="AI262" t="b">
        <v>1</v>
      </c>
      <c r="AJ262">
        <v>0</v>
      </c>
      <c r="AK262">
        <v>3</v>
      </c>
      <c r="AL262" t="b">
        <v>1</v>
      </c>
      <c r="AM262" t="b">
        <v>0</v>
      </c>
      <c r="AN262">
        <v>23316480</v>
      </c>
      <c r="AO262">
        <v>3516480</v>
      </c>
      <c r="AP262">
        <v>11</v>
      </c>
      <c r="AQ262">
        <v>12</v>
      </c>
      <c r="AR262">
        <v>0</v>
      </c>
      <c r="AS262">
        <v>1</v>
      </c>
      <c r="AT262">
        <v>0</v>
      </c>
      <c r="AU262">
        <v>3516480</v>
      </c>
    </row>
    <row r="263" spans="1:47" x14ac:dyDescent="0.3">
      <c r="A263" s="1">
        <v>46032</v>
      </c>
      <c r="B263" t="s">
        <v>287</v>
      </c>
      <c r="C263">
        <v>3</v>
      </c>
      <c r="D263" t="s">
        <v>326</v>
      </c>
      <c r="E263" t="s">
        <v>220</v>
      </c>
      <c r="F263" t="s">
        <v>66</v>
      </c>
      <c r="G263">
        <v>18</v>
      </c>
      <c r="H263">
        <v>0</v>
      </c>
      <c r="I263">
        <v>234000</v>
      </c>
      <c r="J263">
        <v>0</v>
      </c>
      <c r="K263" t="s">
        <v>127</v>
      </c>
      <c r="L263" s="1">
        <v>46035</v>
      </c>
      <c r="N263" t="s">
        <v>52</v>
      </c>
      <c r="P263">
        <v>261</v>
      </c>
      <c r="Q263" t="s">
        <v>327</v>
      </c>
      <c r="R263" t="s">
        <v>54</v>
      </c>
      <c r="S263" t="s">
        <v>69</v>
      </c>
      <c r="T263" t="s">
        <v>56</v>
      </c>
      <c r="U263" t="s">
        <v>221</v>
      </c>
      <c r="V263" t="s">
        <v>58</v>
      </c>
      <c r="W263" t="s">
        <v>59</v>
      </c>
      <c r="X263">
        <v>180000</v>
      </c>
      <c r="Y263">
        <v>234000</v>
      </c>
      <c r="Z263" t="s">
        <v>56</v>
      </c>
      <c r="AA263" t="s">
        <v>60</v>
      </c>
      <c r="AB263" t="s">
        <v>74</v>
      </c>
      <c r="AC263" t="s">
        <v>75</v>
      </c>
      <c r="AD263" t="s">
        <v>94</v>
      </c>
      <c r="AE263">
        <v>0</v>
      </c>
      <c r="AG263">
        <v>0</v>
      </c>
      <c r="AH263" t="b">
        <v>1</v>
      </c>
      <c r="AI263" t="b">
        <v>0</v>
      </c>
      <c r="AL263" t="b">
        <v>0</v>
      </c>
      <c r="AM263" t="b">
        <v>0</v>
      </c>
      <c r="AN263">
        <v>0</v>
      </c>
      <c r="AO263">
        <v>0</v>
      </c>
      <c r="AP263">
        <v>0</v>
      </c>
      <c r="AQ263">
        <v>0</v>
      </c>
      <c r="AR263">
        <v>0</v>
      </c>
      <c r="AS263">
        <v>0</v>
      </c>
      <c r="AT263">
        <v>0</v>
      </c>
      <c r="AU263">
        <v>0</v>
      </c>
    </row>
    <row r="264" spans="1:47" x14ac:dyDescent="0.3">
      <c r="A264" s="1">
        <v>46102</v>
      </c>
      <c r="B264" t="s">
        <v>486</v>
      </c>
      <c r="C264">
        <v>4</v>
      </c>
      <c r="D264" t="s">
        <v>336</v>
      </c>
      <c r="E264" t="s">
        <v>203</v>
      </c>
      <c r="F264" t="s">
        <v>80</v>
      </c>
      <c r="G264">
        <v>-8</v>
      </c>
      <c r="H264">
        <v>-8</v>
      </c>
      <c r="I264">
        <v>2124000</v>
      </c>
      <c r="J264">
        <v>0.02</v>
      </c>
      <c r="K264" t="s">
        <v>216</v>
      </c>
      <c r="L264" s="1">
        <v>46105</v>
      </c>
      <c r="M264" s="1">
        <v>46108</v>
      </c>
      <c r="N264" t="s">
        <v>67</v>
      </c>
      <c r="P264">
        <v>262</v>
      </c>
      <c r="Q264" t="s">
        <v>337</v>
      </c>
      <c r="R264" t="s">
        <v>75</v>
      </c>
      <c r="S264" t="s">
        <v>84</v>
      </c>
      <c r="T264" t="s">
        <v>56</v>
      </c>
      <c r="U264" t="s">
        <v>204</v>
      </c>
      <c r="V264" t="s">
        <v>109</v>
      </c>
      <c r="W264" t="s">
        <v>110</v>
      </c>
      <c r="X264">
        <v>1800000</v>
      </c>
      <c r="Y264">
        <v>2124000</v>
      </c>
      <c r="Z264" t="s">
        <v>56</v>
      </c>
      <c r="AA264" t="s">
        <v>73</v>
      </c>
      <c r="AB264" t="s">
        <v>88</v>
      </c>
      <c r="AC264" t="s">
        <v>83</v>
      </c>
      <c r="AD264" t="s">
        <v>62</v>
      </c>
      <c r="AE264">
        <v>-16652160</v>
      </c>
      <c r="AF264">
        <v>-14400000</v>
      </c>
      <c r="AG264">
        <v>-2252160</v>
      </c>
      <c r="AH264" t="b">
        <v>1</v>
      </c>
      <c r="AI264" t="b">
        <v>1</v>
      </c>
      <c r="AJ264">
        <v>0</v>
      </c>
      <c r="AK264">
        <v>3</v>
      </c>
      <c r="AL264" t="b">
        <v>0</v>
      </c>
      <c r="AM264" t="b">
        <v>1</v>
      </c>
      <c r="AN264">
        <v>-16652160</v>
      </c>
      <c r="AO264">
        <v>-2252160</v>
      </c>
      <c r="AP264">
        <v>0</v>
      </c>
      <c r="AQ264">
        <v>0</v>
      </c>
      <c r="AR264">
        <v>0</v>
      </c>
      <c r="AS264">
        <v>1</v>
      </c>
      <c r="AT264">
        <v>-16652160</v>
      </c>
      <c r="AU264">
        <v>-2252160</v>
      </c>
    </row>
    <row r="265" spans="1:47" x14ac:dyDescent="0.3">
      <c r="A265" s="1">
        <v>46177</v>
      </c>
      <c r="B265" t="s">
        <v>487</v>
      </c>
      <c r="C265">
        <v>2</v>
      </c>
      <c r="D265" t="s">
        <v>229</v>
      </c>
      <c r="E265" t="s">
        <v>315</v>
      </c>
      <c r="F265" t="s">
        <v>66</v>
      </c>
      <c r="G265">
        <v>32</v>
      </c>
      <c r="H265">
        <v>23</v>
      </c>
      <c r="I265">
        <v>2196000</v>
      </c>
      <c r="J265">
        <v>0</v>
      </c>
      <c r="K265" t="s">
        <v>98</v>
      </c>
      <c r="L265" s="1">
        <v>46184</v>
      </c>
      <c r="N265" t="s">
        <v>81</v>
      </c>
      <c r="P265">
        <v>263</v>
      </c>
      <c r="Q265" t="s">
        <v>231</v>
      </c>
      <c r="R265" t="s">
        <v>83</v>
      </c>
      <c r="S265" t="s">
        <v>123</v>
      </c>
      <c r="T265" t="s">
        <v>56</v>
      </c>
      <c r="U265" t="s">
        <v>316</v>
      </c>
      <c r="V265" t="s">
        <v>101</v>
      </c>
      <c r="W265" t="s">
        <v>102</v>
      </c>
      <c r="X265">
        <v>1800000</v>
      </c>
      <c r="Y265">
        <v>2196000</v>
      </c>
      <c r="Z265" t="s">
        <v>56</v>
      </c>
      <c r="AA265" t="s">
        <v>60</v>
      </c>
      <c r="AB265" t="s">
        <v>74</v>
      </c>
      <c r="AC265" t="s">
        <v>75</v>
      </c>
      <c r="AD265" t="s">
        <v>118</v>
      </c>
      <c r="AE265">
        <v>50508000</v>
      </c>
      <c r="AF265">
        <v>41400000</v>
      </c>
      <c r="AG265">
        <v>9108000</v>
      </c>
      <c r="AH265" t="b">
        <v>1</v>
      </c>
      <c r="AI265" t="b">
        <v>0</v>
      </c>
      <c r="AL265" t="b">
        <v>1</v>
      </c>
      <c r="AM265" t="b">
        <v>0</v>
      </c>
      <c r="AN265">
        <v>50508000</v>
      </c>
      <c r="AO265">
        <v>9108000</v>
      </c>
      <c r="AP265">
        <v>23</v>
      </c>
      <c r="AQ265">
        <v>32</v>
      </c>
      <c r="AR265">
        <v>0</v>
      </c>
      <c r="AS265">
        <v>0</v>
      </c>
      <c r="AT265">
        <v>0</v>
      </c>
      <c r="AU265">
        <v>9108000</v>
      </c>
    </row>
    <row r="266" spans="1:47" x14ac:dyDescent="0.3">
      <c r="A266" s="1">
        <v>46039</v>
      </c>
      <c r="B266" t="s">
        <v>488</v>
      </c>
      <c r="C266">
        <v>4</v>
      </c>
      <c r="D266" t="s">
        <v>277</v>
      </c>
      <c r="E266" t="s">
        <v>210</v>
      </c>
      <c r="F266" t="s">
        <v>114</v>
      </c>
      <c r="G266">
        <v>12</v>
      </c>
      <c r="H266">
        <v>12</v>
      </c>
      <c r="I266">
        <v>234000</v>
      </c>
      <c r="J266">
        <v>0</v>
      </c>
      <c r="K266" t="s">
        <v>51</v>
      </c>
      <c r="L266" s="1">
        <v>46040</v>
      </c>
      <c r="M266" s="1">
        <v>46041</v>
      </c>
      <c r="N266" t="s">
        <v>106</v>
      </c>
      <c r="P266">
        <v>264</v>
      </c>
      <c r="Q266" t="s">
        <v>278</v>
      </c>
      <c r="R266" t="s">
        <v>75</v>
      </c>
      <c r="S266" t="s">
        <v>123</v>
      </c>
      <c r="T266" t="s">
        <v>218</v>
      </c>
      <c r="U266" t="s">
        <v>212</v>
      </c>
      <c r="V266" t="s">
        <v>58</v>
      </c>
      <c r="W266" t="s">
        <v>59</v>
      </c>
      <c r="X266">
        <v>180000</v>
      </c>
      <c r="Y266">
        <v>234000</v>
      </c>
      <c r="Z266" t="s">
        <v>56</v>
      </c>
      <c r="AA266" t="s">
        <v>60</v>
      </c>
      <c r="AB266" t="s">
        <v>117</v>
      </c>
      <c r="AC266" t="s">
        <v>83</v>
      </c>
      <c r="AD266" t="s">
        <v>94</v>
      </c>
      <c r="AE266">
        <v>2808000</v>
      </c>
      <c r="AF266">
        <v>2160000</v>
      </c>
      <c r="AG266">
        <v>648000</v>
      </c>
      <c r="AH266" t="b">
        <v>1</v>
      </c>
      <c r="AI266" t="b">
        <v>1</v>
      </c>
      <c r="AJ266">
        <v>0</v>
      </c>
      <c r="AK266">
        <v>1</v>
      </c>
      <c r="AL266" t="b">
        <v>1</v>
      </c>
      <c r="AM266" t="b">
        <v>0</v>
      </c>
      <c r="AN266">
        <v>2808000</v>
      </c>
      <c r="AO266">
        <v>648000</v>
      </c>
      <c r="AP266">
        <v>12</v>
      </c>
      <c r="AQ266">
        <v>12</v>
      </c>
      <c r="AR266">
        <v>0</v>
      </c>
      <c r="AS266">
        <v>1</v>
      </c>
      <c r="AT266">
        <v>0</v>
      </c>
      <c r="AU266">
        <v>648000</v>
      </c>
    </row>
    <row r="267" spans="1:47" x14ac:dyDescent="0.3">
      <c r="A267" s="1">
        <v>46115</v>
      </c>
      <c r="B267" t="s">
        <v>489</v>
      </c>
      <c r="C267">
        <v>3</v>
      </c>
      <c r="D267" t="s">
        <v>300</v>
      </c>
      <c r="E267" t="s">
        <v>206</v>
      </c>
      <c r="F267" t="s">
        <v>66</v>
      </c>
      <c r="G267">
        <v>8</v>
      </c>
      <c r="H267">
        <v>8</v>
      </c>
      <c r="I267">
        <v>648000</v>
      </c>
      <c r="J267">
        <v>0.05</v>
      </c>
      <c r="K267" t="s">
        <v>51</v>
      </c>
      <c r="L267" s="1">
        <v>46122</v>
      </c>
      <c r="M267" s="1">
        <v>46123</v>
      </c>
      <c r="N267" t="s">
        <v>81</v>
      </c>
      <c r="P267">
        <v>265</v>
      </c>
      <c r="Q267" t="s">
        <v>301</v>
      </c>
      <c r="R267" t="s">
        <v>83</v>
      </c>
      <c r="S267" t="s">
        <v>123</v>
      </c>
      <c r="T267" t="s">
        <v>56</v>
      </c>
      <c r="U267" t="s">
        <v>207</v>
      </c>
      <c r="V267" t="s">
        <v>71</v>
      </c>
      <c r="W267" t="s">
        <v>72</v>
      </c>
      <c r="X267">
        <v>480000</v>
      </c>
      <c r="Y267">
        <v>648000</v>
      </c>
      <c r="Z267" t="s">
        <v>56</v>
      </c>
      <c r="AA267" t="s">
        <v>73</v>
      </c>
      <c r="AB267" t="s">
        <v>74</v>
      </c>
      <c r="AC267" t="s">
        <v>75</v>
      </c>
      <c r="AD267" t="s">
        <v>130</v>
      </c>
      <c r="AE267">
        <v>4924800</v>
      </c>
      <c r="AF267">
        <v>3840000</v>
      </c>
      <c r="AG267">
        <v>1084800</v>
      </c>
      <c r="AH267" t="b">
        <v>1</v>
      </c>
      <c r="AI267" t="b">
        <v>1</v>
      </c>
      <c r="AJ267">
        <v>0</v>
      </c>
      <c r="AK267">
        <v>1</v>
      </c>
      <c r="AL267" t="b">
        <v>1</v>
      </c>
      <c r="AM267" t="b">
        <v>0</v>
      </c>
      <c r="AN267">
        <v>4924800</v>
      </c>
      <c r="AO267">
        <v>1084800</v>
      </c>
      <c r="AP267">
        <v>8</v>
      </c>
      <c r="AQ267">
        <v>8</v>
      </c>
      <c r="AR267">
        <v>0</v>
      </c>
      <c r="AS267">
        <v>1</v>
      </c>
      <c r="AT267">
        <v>0</v>
      </c>
      <c r="AU267">
        <v>1084800</v>
      </c>
    </row>
    <row r="268" spans="1:47" x14ac:dyDescent="0.3">
      <c r="A268" s="1">
        <v>46144</v>
      </c>
      <c r="B268" t="s">
        <v>324</v>
      </c>
      <c r="C268">
        <v>3</v>
      </c>
      <c r="D268" t="s">
        <v>188</v>
      </c>
      <c r="E268" t="s">
        <v>311</v>
      </c>
      <c r="F268" t="s">
        <v>50</v>
      </c>
      <c r="G268">
        <v>6</v>
      </c>
      <c r="H268">
        <v>6</v>
      </c>
      <c r="I268">
        <v>437000</v>
      </c>
      <c r="J268">
        <v>0</v>
      </c>
      <c r="K268" t="s">
        <v>51</v>
      </c>
      <c r="L268" s="1">
        <v>46151</v>
      </c>
      <c r="M268" s="1">
        <v>46158</v>
      </c>
      <c r="N268" t="s">
        <v>81</v>
      </c>
      <c r="P268">
        <v>266</v>
      </c>
      <c r="Q268" t="s">
        <v>190</v>
      </c>
      <c r="R268" t="s">
        <v>83</v>
      </c>
      <c r="S268" t="s">
        <v>123</v>
      </c>
      <c r="T268" t="s">
        <v>56</v>
      </c>
      <c r="U268" t="s">
        <v>312</v>
      </c>
      <c r="V268" t="s">
        <v>86</v>
      </c>
      <c r="W268" t="s">
        <v>87</v>
      </c>
      <c r="X268">
        <v>350000</v>
      </c>
      <c r="Y268">
        <v>437000</v>
      </c>
      <c r="Z268" t="s">
        <v>56</v>
      </c>
      <c r="AA268" t="s">
        <v>60</v>
      </c>
      <c r="AB268" t="s">
        <v>61</v>
      </c>
      <c r="AC268" t="s">
        <v>54</v>
      </c>
      <c r="AD268" t="s">
        <v>76</v>
      </c>
      <c r="AE268">
        <v>2622000</v>
      </c>
      <c r="AF268">
        <v>2100000</v>
      </c>
      <c r="AG268">
        <v>522000</v>
      </c>
      <c r="AH268" t="b">
        <v>1</v>
      </c>
      <c r="AI268" t="b">
        <v>1</v>
      </c>
      <c r="AJ268">
        <v>0</v>
      </c>
      <c r="AK268">
        <v>7</v>
      </c>
      <c r="AL268" t="b">
        <v>1</v>
      </c>
      <c r="AM268" t="b">
        <v>0</v>
      </c>
      <c r="AN268">
        <v>2622000</v>
      </c>
      <c r="AO268">
        <v>522000</v>
      </c>
      <c r="AP268">
        <v>6</v>
      </c>
      <c r="AQ268">
        <v>6</v>
      </c>
      <c r="AR268">
        <v>0</v>
      </c>
      <c r="AS268">
        <v>1</v>
      </c>
      <c r="AT268">
        <v>0</v>
      </c>
      <c r="AU268">
        <v>522000</v>
      </c>
    </row>
    <row r="269" spans="1:47" x14ac:dyDescent="0.3">
      <c r="A269" s="1">
        <v>46079</v>
      </c>
      <c r="B269" t="s">
        <v>444</v>
      </c>
      <c r="C269">
        <v>2</v>
      </c>
      <c r="D269" t="s">
        <v>209</v>
      </c>
      <c r="E269" t="s">
        <v>167</v>
      </c>
      <c r="F269" t="s">
        <v>114</v>
      </c>
      <c r="G269">
        <v>1</v>
      </c>
      <c r="H269">
        <v>0</v>
      </c>
      <c r="I269">
        <v>1062000</v>
      </c>
      <c r="J269">
        <v>0</v>
      </c>
      <c r="K269" t="s">
        <v>51</v>
      </c>
      <c r="L269" s="1">
        <v>46086</v>
      </c>
      <c r="M269" s="1">
        <v>46093</v>
      </c>
      <c r="N269" t="s">
        <v>106</v>
      </c>
      <c r="P269">
        <v>267</v>
      </c>
      <c r="Q269" t="s">
        <v>211</v>
      </c>
      <c r="R269" t="s">
        <v>54</v>
      </c>
      <c r="S269" t="s">
        <v>84</v>
      </c>
      <c r="T269" t="s">
        <v>56</v>
      </c>
      <c r="U269" t="s">
        <v>169</v>
      </c>
      <c r="V269" t="s">
        <v>109</v>
      </c>
      <c r="W269" t="s">
        <v>110</v>
      </c>
      <c r="X269">
        <v>900000</v>
      </c>
      <c r="Y269">
        <v>1062000</v>
      </c>
      <c r="Z269" t="s">
        <v>56</v>
      </c>
      <c r="AA269" t="s">
        <v>60</v>
      </c>
      <c r="AB269" t="s">
        <v>117</v>
      </c>
      <c r="AC269" t="s">
        <v>83</v>
      </c>
      <c r="AD269" t="s">
        <v>158</v>
      </c>
      <c r="AE269">
        <v>0</v>
      </c>
      <c r="AF269">
        <v>0</v>
      </c>
      <c r="AG269">
        <v>0</v>
      </c>
      <c r="AH269" t="b">
        <v>1</v>
      </c>
      <c r="AI269" t="b">
        <v>1</v>
      </c>
      <c r="AJ269">
        <v>0</v>
      </c>
      <c r="AK269">
        <v>7</v>
      </c>
      <c r="AL269" t="b">
        <v>1</v>
      </c>
      <c r="AM269" t="b">
        <v>0</v>
      </c>
      <c r="AN269">
        <v>0</v>
      </c>
      <c r="AO269">
        <v>0</v>
      </c>
      <c r="AP269">
        <v>0</v>
      </c>
      <c r="AQ269">
        <v>1</v>
      </c>
      <c r="AR269">
        <v>0</v>
      </c>
      <c r="AS269">
        <v>1</v>
      </c>
      <c r="AT269">
        <v>0</v>
      </c>
      <c r="AU269">
        <v>0</v>
      </c>
    </row>
    <row r="270" spans="1:47" x14ac:dyDescent="0.3">
      <c r="A270" s="1">
        <v>46080</v>
      </c>
      <c r="B270" t="s">
        <v>490</v>
      </c>
      <c r="C270">
        <v>3</v>
      </c>
      <c r="D270" t="s">
        <v>209</v>
      </c>
      <c r="E270" t="s">
        <v>126</v>
      </c>
      <c r="F270" t="s">
        <v>66</v>
      </c>
      <c r="G270">
        <v>23</v>
      </c>
      <c r="H270">
        <v>23</v>
      </c>
      <c r="I270">
        <v>845000</v>
      </c>
      <c r="J270">
        <v>0.02</v>
      </c>
      <c r="K270" t="s">
        <v>51</v>
      </c>
      <c r="L270" s="1">
        <v>46090</v>
      </c>
      <c r="M270" s="1">
        <v>46092</v>
      </c>
      <c r="N270" t="s">
        <v>67</v>
      </c>
      <c r="P270">
        <v>268</v>
      </c>
      <c r="Q270" t="s">
        <v>211</v>
      </c>
      <c r="R270" t="s">
        <v>54</v>
      </c>
      <c r="S270" t="s">
        <v>84</v>
      </c>
      <c r="T270" t="s">
        <v>56</v>
      </c>
      <c r="U270" t="s">
        <v>128</v>
      </c>
      <c r="V270" t="s">
        <v>58</v>
      </c>
      <c r="W270" t="s">
        <v>59</v>
      </c>
      <c r="X270">
        <v>650000</v>
      </c>
      <c r="Y270">
        <v>845000</v>
      </c>
      <c r="Z270" t="s">
        <v>56</v>
      </c>
      <c r="AA270" t="s">
        <v>129</v>
      </c>
      <c r="AB270" t="s">
        <v>74</v>
      </c>
      <c r="AC270" t="s">
        <v>75</v>
      </c>
      <c r="AD270" t="s">
        <v>158</v>
      </c>
      <c r="AE270">
        <v>19046300</v>
      </c>
      <c r="AF270">
        <v>14950000</v>
      </c>
      <c r="AG270">
        <v>4096300</v>
      </c>
      <c r="AH270" t="b">
        <v>1</v>
      </c>
      <c r="AI270" t="b">
        <v>1</v>
      </c>
      <c r="AJ270">
        <v>0</v>
      </c>
      <c r="AK270">
        <v>2</v>
      </c>
      <c r="AL270" t="b">
        <v>1</v>
      </c>
      <c r="AM270" t="b">
        <v>0</v>
      </c>
      <c r="AN270">
        <v>19046300</v>
      </c>
      <c r="AO270">
        <v>4096300</v>
      </c>
      <c r="AP270">
        <v>23</v>
      </c>
      <c r="AQ270">
        <v>23</v>
      </c>
      <c r="AR270">
        <v>0</v>
      </c>
      <c r="AS270">
        <v>1</v>
      </c>
      <c r="AT270">
        <v>0</v>
      </c>
      <c r="AU270">
        <v>4096300</v>
      </c>
    </row>
    <row r="271" spans="1:47" x14ac:dyDescent="0.3">
      <c r="A271" s="1">
        <v>46172</v>
      </c>
      <c r="B271" t="s">
        <v>433</v>
      </c>
      <c r="C271">
        <v>1</v>
      </c>
      <c r="D271" t="s">
        <v>254</v>
      </c>
      <c r="E271" t="s">
        <v>242</v>
      </c>
      <c r="F271" t="s">
        <v>50</v>
      </c>
      <c r="G271">
        <v>20</v>
      </c>
      <c r="H271">
        <v>20</v>
      </c>
      <c r="I271">
        <v>1620000</v>
      </c>
      <c r="J271">
        <v>0.02</v>
      </c>
      <c r="K271" t="s">
        <v>51</v>
      </c>
      <c r="L271" s="1">
        <v>46175</v>
      </c>
      <c r="M271" s="1">
        <v>46178</v>
      </c>
      <c r="N271" t="s">
        <v>52</v>
      </c>
      <c r="P271">
        <v>269</v>
      </c>
      <c r="Q271" t="s">
        <v>256</v>
      </c>
      <c r="R271" t="s">
        <v>83</v>
      </c>
      <c r="S271" t="s">
        <v>69</v>
      </c>
      <c r="T271" t="s">
        <v>56</v>
      </c>
      <c r="U271" t="s">
        <v>243</v>
      </c>
      <c r="V271" t="s">
        <v>71</v>
      </c>
      <c r="W271" t="s">
        <v>72</v>
      </c>
      <c r="X271">
        <v>1200000</v>
      </c>
      <c r="Y271">
        <v>1620000</v>
      </c>
      <c r="Z271" t="s">
        <v>56</v>
      </c>
      <c r="AA271" t="s">
        <v>73</v>
      </c>
      <c r="AB271" t="s">
        <v>61</v>
      </c>
      <c r="AC271" t="s">
        <v>54</v>
      </c>
      <c r="AD271" t="s">
        <v>76</v>
      </c>
      <c r="AE271">
        <v>31752000</v>
      </c>
      <c r="AF271">
        <v>24000000</v>
      </c>
      <c r="AG271">
        <v>7752000</v>
      </c>
      <c r="AH271" t="b">
        <v>1</v>
      </c>
      <c r="AI271" t="b">
        <v>1</v>
      </c>
      <c r="AJ271">
        <v>0</v>
      </c>
      <c r="AK271">
        <v>3</v>
      </c>
      <c r="AL271" t="b">
        <v>1</v>
      </c>
      <c r="AM271" t="b">
        <v>0</v>
      </c>
      <c r="AN271">
        <v>31752000</v>
      </c>
      <c r="AO271">
        <v>7752000</v>
      </c>
      <c r="AP271">
        <v>20</v>
      </c>
      <c r="AQ271">
        <v>20</v>
      </c>
      <c r="AR271">
        <v>0</v>
      </c>
      <c r="AS271">
        <v>1</v>
      </c>
      <c r="AT271">
        <v>0</v>
      </c>
      <c r="AU271">
        <v>7752000</v>
      </c>
    </row>
    <row r="272" spans="1:47" x14ac:dyDescent="0.3">
      <c r="A272" s="1">
        <v>46093</v>
      </c>
      <c r="B272" t="s">
        <v>491</v>
      </c>
      <c r="C272">
        <v>3</v>
      </c>
      <c r="D272" t="s">
        <v>288</v>
      </c>
      <c r="E272" t="s">
        <v>49</v>
      </c>
      <c r="F272" t="s">
        <v>80</v>
      </c>
      <c r="G272">
        <v>4</v>
      </c>
      <c r="H272">
        <v>3</v>
      </c>
      <c r="I272">
        <v>1170000</v>
      </c>
      <c r="J272">
        <v>0.1</v>
      </c>
      <c r="K272" t="s">
        <v>98</v>
      </c>
      <c r="L272" s="1">
        <v>46096</v>
      </c>
      <c r="N272" t="s">
        <v>81</v>
      </c>
      <c r="P272">
        <v>270</v>
      </c>
      <c r="Q272" t="s">
        <v>289</v>
      </c>
      <c r="R272" t="s">
        <v>83</v>
      </c>
      <c r="S272" t="s">
        <v>69</v>
      </c>
      <c r="T272" t="s">
        <v>56</v>
      </c>
      <c r="U272" t="s">
        <v>57</v>
      </c>
      <c r="V272" t="s">
        <v>58</v>
      </c>
      <c r="W272" t="s">
        <v>59</v>
      </c>
      <c r="X272">
        <v>900000</v>
      </c>
      <c r="Y272">
        <v>1170000</v>
      </c>
      <c r="Z272" t="s">
        <v>56</v>
      </c>
      <c r="AA272" t="s">
        <v>60</v>
      </c>
      <c r="AB272" t="s">
        <v>88</v>
      </c>
      <c r="AC272" t="s">
        <v>83</v>
      </c>
      <c r="AD272" t="s">
        <v>62</v>
      </c>
      <c r="AE272">
        <v>3159000</v>
      </c>
      <c r="AF272">
        <v>2700000</v>
      </c>
      <c r="AG272">
        <v>459000</v>
      </c>
      <c r="AH272" t="b">
        <v>1</v>
      </c>
      <c r="AI272" t="b">
        <v>0</v>
      </c>
      <c r="AL272" t="b">
        <v>1</v>
      </c>
      <c r="AM272" t="b">
        <v>0</v>
      </c>
      <c r="AN272">
        <v>3159000</v>
      </c>
      <c r="AO272">
        <v>459000</v>
      </c>
      <c r="AP272">
        <v>3</v>
      </c>
      <c r="AQ272">
        <v>4</v>
      </c>
      <c r="AR272">
        <v>0</v>
      </c>
      <c r="AS272">
        <v>0</v>
      </c>
      <c r="AT272">
        <v>0</v>
      </c>
      <c r="AU272">
        <v>459000</v>
      </c>
    </row>
    <row r="273" spans="1:47" x14ac:dyDescent="0.3">
      <c r="A273" s="1">
        <v>46029</v>
      </c>
      <c r="B273" t="s">
        <v>350</v>
      </c>
      <c r="C273">
        <v>3</v>
      </c>
      <c r="D273" t="s">
        <v>239</v>
      </c>
      <c r="E273" t="s">
        <v>167</v>
      </c>
      <c r="F273" t="s">
        <v>66</v>
      </c>
      <c r="G273">
        <v>25</v>
      </c>
      <c r="H273">
        <v>18</v>
      </c>
      <c r="I273">
        <v>1062000</v>
      </c>
      <c r="J273">
        <v>0.1</v>
      </c>
      <c r="K273" t="s">
        <v>98</v>
      </c>
      <c r="L273" s="1">
        <v>46036</v>
      </c>
      <c r="N273" t="s">
        <v>81</v>
      </c>
      <c r="P273">
        <v>271</v>
      </c>
      <c r="Q273" t="s">
        <v>240</v>
      </c>
      <c r="R273" t="s">
        <v>75</v>
      </c>
      <c r="S273" t="s">
        <v>55</v>
      </c>
      <c r="T273" t="s">
        <v>56</v>
      </c>
      <c r="U273" t="s">
        <v>169</v>
      </c>
      <c r="V273" t="s">
        <v>109</v>
      </c>
      <c r="W273" t="s">
        <v>110</v>
      </c>
      <c r="X273">
        <v>900000</v>
      </c>
      <c r="Y273">
        <v>1062000</v>
      </c>
      <c r="Z273" t="s">
        <v>56</v>
      </c>
      <c r="AA273" t="s">
        <v>60</v>
      </c>
      <c r="AB273" t="s">
        <v>74</v>
      </c>
      <c r="AC273" t="s">
        <v>75</v>
      </c>
      <c r="AD273" t="s">
        <v>94</v>
      </c>
      <c r="AE273">
        <v>17204400</v>
      </c>
      <c r="AF273">
        <v>16200000</v>
      </c>
      <c r="AG273">
        <v>1004400</v>
      </c>
      <c r="AH273" t="b">
        <v>1</v>
      </c>
      <c r="AI273" t="b">
        <v>0</v>
      </c>
      <c r="AL273" t="b">
        <v>1</v>
      </c>
      <c r="AM273" t="b">
        <v>0</v>
      </c>
      <c r="AN273">
        <v>17204400</v>
      </c>
      <c r="AO273">
        <v>1004400</v>
      </c>
      <c r="AP273">
        <v>18</v>
      </c>
      <c r="AQ273">
        <v>25</v>
      </c>
      <c r="AR273">
        <v>0</v>
      </c>
      <c r="AS273">
        <v>0</v>
      </c>
      <c r="AT273">
        <v>0</v>
      </c>
      <c r="AU273">
        <v>1004400</v>
      </c>
    </row>
    <row r="274" spans="1:47" x14ac:dyDescent="0.3">
      <c r="A274" s="1">
        <v>46110</v>
      </c>
      <c r="B274" t="s">
        <v>492</v>
      </c>
      <c r="C274">
        <v>4</v>
      </c>
      <c r="D274" t="s">
        <v>188</v>
      </c>
      <c r="E274" t="s">
        <v>142</v>
      </c>
      <c r="F274" t="s">
        <v>50</v>
      </c>
      <c r="G274">
        <v>11</v>
      </c>
      <c r="H274">
        <v>8</v>
      </c>
      <c r="I274">
        <v>413000</v>
      </c>
      <c r="J274">
        <v>0</v>
      </c>
      <c r="K274" t="s">
        <v>98</v>
      </c>
      <c r="L274" s="1">
        <v>46113</v>
      </c>
      <c r="N274" t="s">
        <v>106</v>
      </c>
      <c r="P274">
        <v>272</v>
      </c>
      <c r="Q274" t="s">
        <v>190</v>
      </c>
      <c r="R274" t="s">
        <v>83</v>
      </c>
      <c r="S274" t="s">
        <v>123</v>
      </c>
      <c r="T274" t="s">
        <v>56</v>
      </c>
      <c r="U274" t="s">
        <v>144</v>
      </c>
      <c r="V274" t="s">
        <v>109</v>
      </c>
      <c r="W274" t="s">
        <v>110</v>
      </c>
      <c r="X274">
        <v>350000</v>
      </c>
      <c r="Y274">
        <v>413000</v>
      </c>
      <c r="Z274" t="s">
        <v>56</v>
      </c>
      <c r="AA274" t="s">
        <v>129</v>
      </c>
      <c r="AB274" t="s">
        <v>61</v>
      </c>
      <c r="AC274" t="s">
        <v>54</v>
      </c>
      <c r="AD274" t="s">
        <v>62</v>
      </c>
      <c r="AE274">
        <v>3304000</v>
      </c>
      <c r="AF274">
        <v>2800000</v>
      </c>
      <c r="AG274">
        <v>504000</v>
      </c>
      <c r="AH274" t="b">
        <v>1</v>
      </c>
      <c r="AI274" t="b">
        <v>0</v>
      </c>
      <c r="AL274" t="b">
        <v>1</v>
      </c>
      <c r="AM274" t="b">
        <v>0</v>
      </c>
      <c r="AN274">
        <v>3304000</v>
      </c>
      <c r="AO274">
        <v>504000</v>
      </c>
      <c r="AP274">
        <v>8</v>
      </c>
      <c r="AQ274">
        <v>11</v>
      </c>
      <c r="AR274">
        <v>0</v>
      </c>
      <c r="AS274">
        <v>0</v>
      </c>
      <c r="AT274">
        <v>0</v>
      </c>
      <c r="AU274">
        <v>504000</v>
      </c>
    </row>
    <row r="275" spans="1:47" x14ac:dyDescent="0.3">
      <c r="A275" s="1">
        <v>46143</v>
      </c>
      <c r="B275" t="s">
        <v>135</v>
      </c>
      <c r="C275">
        <v>3</v>
      </c>
      <c r="D275" t="s">
        <v>48</v>
      </c>
      <c r="E275" t="s">
        <v>197</v>
      </c>
      <c r="F275" t="s">
        <v>50</v>
      </c>
      <c r="G275">
        <v>6</v>
      </c>
      <c r="H275">
        <v>5</v>
      </c>
      <c r="I275">
        <v>1215000</v>
      </c>
      <c r="J275">
        <v>0.02</v>
      </c>
      <c r="K275" t="s">
        <v>51</v>
      </c>
      <c r="L275" s="1">
        <v>46148</v>
      </c>
      <c r="M275" s="1">
        <v>46155</v>
      </c>
      <c r="N275" t="s">
        <v>52</v>
      </c>
      <c r="P275">
        <v>273</v>
      </c>
      <c r="Q275" t="s">
        <v>53</v>
      </c>
      <c r="R275" t="s">
        <v>54</v>
      </c>
      <c r="S275" t="s">
        <v>55</v>
      </c>
      <c r="T275" t="s">
        <v>56</v>
      </c>
      <c r="U275" t="s">
        <v>198</v>
      </c>
      <c r="V275" t="s">
        <v>71</v>
      </c>
      <c r="W275" t="s">
        <v>72</v>
      </c>
      <c r="X275">
        <v>900000</v>
      </c>
      <c r="Y275">
        <v>1215000</v>
      </c>
      <c r="Z275" t="s">
        <v>56</v>
      </c>
      <c r="AA275" t="s">
        <v>129</v>
      </c>
      <c r="AB275" t="s">
        <v>61</v>
      </c>
      <c r="AC275" t="s">
        <v>54</v>
      </c>
      <c r="AD275" t="s">
        <v>76</v>
      </c>
      <c r="AE275">
        <v>5953500</v>
      </c>
      <c r="AF275">
        <v>4500000</v>
      </c>
      <c r="AG275">
        <v>1453500</v>
      </c>
      <c r="AH275" t="b">
        <v>1</v>
      </c>
      <c r="AI275" t="b">
        <v>1</v>
      </c>
      <c r="AJ275">
        <v>0</v>
      </c>
      <c r="AK275">
        <v>7</v>
      </c>
      <c r="AL275" t="b">
        <v>1</v>
      </c>
      <c r="AM275" t="b">
        <v>0</v>
      </c>
      <c r="AN275">
        <v>5953500</v>
      </c>
      <c r="AO275">
        <v>1453500</v>
      </c>
      <c r="AP275">
        <v>5</v>
      </c>
      <c r="AQ275">
        <v>6</v>
      </c>
      <c r="AR275">
        <v>0</v>
      </c>
      <c r="AS275">
        <v>1</v>
      </c>
      <c r="AT275">
        <v>0</v>
      </c>
      <c r="AU275">
        <v>1453500</v>
      </c>
    </row>
    <row r="276" spans="1:47" x14ac:dyDescent="0.3">
      <c r="A276" s="1">
        <v>46118</v>
      </c>
      <c r="B276" t="s">
        <v>493</v>
      </c>
      <c r="C276">
        <v>3</v>
      </c>
      <c r="D276" t="s">
        <v>182</v>
      </c>
      <c r="E276" t="s">
        <v>230</v>
      </c>
      <c r="F276" t="s">
        <v>66</v>
      </c>
      <c r="G276">
        <v>4</v>
      </c>
      <c r="H276">
        <v>0</v>
      </c>
      <c r="I276">
        <v>2196000</v>
      </c>
      <c r="J276">
        <v>0.08</v>
      </c>
      <c r="K276" t="s">
        <v>127</v>
      </c>
      <c r="L276" s="1">
        <v>46125</v>
      </c>
      <c r="N276" t="s">
        <v>106</v>
      </c>
      <c r="P276">
        <v>274</v>
      </c>
      <c r="Q276" t="s">
        <v>183</v>
      </c>
      <c r="R276" t="s">
        <v>75</v>
      </c>
      <c r="S276" t="s">
        <v>69</v>
      </c>
      <c r="T276" t="s">
        <v>56</v>
      </c>
      <c r="U276" t="s">
        <v>232</v>
      </c>
      <c r="V276" t="s">
        <v>101</v>
      </c>
      <c r="W276" t="s">
        <v>102</v>
      </c>
      <c r="X276">
        <v>1800000</v>
      </c>
      <c r="Y276">
        <v>2196000</v>
      </c>
      <c r="Z276" t="s">
        <v>56</v>
      </c>
      <c r="AA276" t="s">
        <v>129</v>
      </c>
      <c r="AB276" t="s">
        <v>74</v>
      </c>
      <c r="AC276" t="s">
        <v>75</v>
      </c>
      <c r="AD276" t="s">
        <v>130</v>
      </c>
      <c r="AE276">
        <v>0</v>
      </c>
      <c r="AG276">
        <v>0</v>
      </c>
      <c r="AH276" t="b">
        <v>1</v>
      </c>
      <c r="AI276" t="b">
        <v>0</v>
      </c>
      <c r="AL276" t="b">
        <v>0</v>
      </c>
      <c r="AM276" t="b">
        <v>0</v>
      </c>
      <c r="AN276">
        <v>0</v>
      </c>
      <c r="AO276">
        <v>0</v>
      </c>
      <c r="AP276">
        <v>0</v>
      </c>
      <c r="AQ276">
        <v>0</v>
      </c>
      <c r="AR276">
        <v>0</v>
      </c>
      <c r="AS276">
        <v>0</v>
      </c>
      <c r="AT276">
        <v>0</v>
      </c>
      <c r="AU276">
        <v>0</v>
      </c>
    </row>
    <row r="277" spans="1:47" x14ac:dyDescent="0.3">
      <c r="A277" s="1">
        <v>46143</v>
      </c>
      <c r="B277" t="s">
        <v>392</v>
      </c>
      <c r="C277">
        <v>1</v>
      </c>
      <c r="D277" t="s">
        <v>104</v>
      </c>
      <c r="E277" t="s">
        <v>210</v>
      </c>
      <c r="F277" t="s">
        <v>50</v>
      </c>
      <c r="G277">
        <v>27</v>
      </c>
      <c r="H277">
        <v>27</v>
      </c>
      <c r="I277">
        <v>234000</v>
      </c>
      <c r="J277">
        <v>0</v>
      </c>
      <c r="K277" t="s">
        <v>51</v>
      </c>
      <c r="L277" s="1">
        <v>46146</v>
      </c>
      <c r="M277" s="1">
        <v>46147</v>
      </c>
      <c r="N277" t="s">
        <v>67</v>
      </c>
      <c r="P277">
        <v>275</v>
      </c>
      <c r="Q277" t="s">
        <v>107</v>
      </c>
      <c r="R277" t="s">
        <v>83</v>
      </c>
      <c r="S277" t="s">
        <v>55</v>
      </c>
      <c r="T277" t="s">
        <v>56</v>
      </c>
      <c r="U277" t="s">
        <v>212</v>
      </c>
      <c r="V277" t="s">
        <v>58</v>
      </c>
      <c r="W277" t="s">
        <v>59</v>
      </c>
      <c r="X277">
        <v>180000</v>
      </c>
      <c r="Y277">
        <v>234000</v>
      </c>
      <c r="Z277" t="s">
        <v>56</v>
      </c>
      <c r="AA277" t="s">
        <v>60</v>
      </c>
      <c r="AB277" t="s">
        <v>61</v>
      </c>
      <c r="AC277" t="s">
        <v>54</v>
      </c>
      <c r="AD277" t="s">
        <v>76</v>
      </c>
      <c r="AE277">
        <v>6318000</v>
      </c>
      <c r="AF277">
        <v>4860000</v>
      </c>
      <c r="AG277">
        <v>1458000</v>
      </c>
      <c r="AH277" t="b">
        <v>1</v>
      </c>
      <c r="AI277" t="b">
        <v>1</v>
      </c>
      <c r="AJ277">
        <v>0</v>
      </c>
      <c r="AK277">
        <v>1</v>
      </c>
      <c r="AL277" t="b">
        <v>1</v>
      </c>
      <c r="AM277" t="b">
        <v>0</v>
      </c>
      <c r="AN277">
        <v>6318000</v>
      </c>
      <c r="AO277">
        <v>1458000</v>
      </c>
      <c r="AP277">
        <v>27</v>
      </c>
      <c r="AQ277">
        <v>27</v>
      </c>
      <c r="AR277">
        <v>0</v>
      </c>
      <c r="AS277">
        <v>1</v>
      </c>
      <c r="AT277">
        <v>0</v>
      </c>
      <c r="AU277">
        <v>1458000</v>
      </c>
    </row>
    <row r="278" spans="1:47" x14ac:dyDescent="0.3">
      <c r="A278" s="1">
        <v>46059</v>
      </c>
      <c r="B278" t="s">
        <v>494</v>
      </c>
      <c r="C278">
        <v>2</v>
      </c>
      <c r="D278" t="s">
        <v>200</v>
      </c>
      <c r="E278" t="s">
        <v>175</v>
      </c>
      <c r="F278" t="s">
        <v>50</v>
      </c>
      <c r="G278">
        <v>12</v>
      </c>
      <c r="H278">
        <v>12</v>
      </c>
      <c r="I278">
        <v>1098000</v>
      </c>
      <c r="J278">
        <v>0.05</v>
      </c>
      <c r="K278" t="s">
        <v>51</v>
      </c>
      <c r="L278" s="1">
        <v>46062</v>
      </c>
      <c r="M278" s="1">
        <v>46062</v>
      </c>
      <c r="N278" t="s">
        <v>81</v>
      </c>
      <c r="P278">
        <v>276</v>
      </c>
      <c r="Q278" t="s">
        <v>201</v>
      </c>
      <c r="R278" t="s">
        <v>75</v>
      </c>
      <c r="S278" t="s">
        <v>55</v>
      </c>
      <c r="T278" t="s">
        <v>56</v>
      </c>
      <c r="U278" t="s">
        <v>177</v>
      </c>
      <c r="V278" t="s">
        <v>101</v>
      </c>
      <c r="W278" t="s">
        <v>102</v>
      </c>
      <c r="X278">
        <v>900000</v>
      </c>
      <c r="Y278">
        <v>1098000</v>
      </c>
      <c r="Z278" t="s">
        <v>56</v>
      </c>
      <c r="AA278" t="s">
        <v>129</v>
      </c>
      <c r="AB278" t="s">
        <v>61</v>
      </c>
      <c r="AC278" t="s">
        <v>54</v>
      </c>
      <c r="AD278" t="s">
        <v>158</v>
      </c>
      <c r="AE278">
        <v>12517200</v>
      </c>
      <c r="AF278">
        <v>10800000</v>
      </c>
      <c r="AG278">
        <v>1717200</v>
      </c>
      <c r="AH278" t="b">
        <v>1</v>
      </c>
      <c r="AI278" t="b">
        <v>1</v>
      </c>
      <c r="AJ278">
        <v>1</v>
      </c>
      <c r="AK278">
        <v>0</v>
      </c>
      <c r="AL278" t="b">
        <v>1</v>
      </c>
      <c r="AM278" t="b">
        <v>0</v>
      </c>
      <c r="AN278">
        <v>12517200</v>
      </c>
      <c r="AO278">
        <v>1717200</v>
      </c>
      <c r="AP278">
        <v>12</v>
      </c>
      <c r="AQ278">
        <v>12</v>
      </c>
      <c r="AR278">
        <v>1</v>
      </c>
      <c r="AS278">
        <v>1</v>
      </c>
      <c r="AT278">
        <v>0</v>
      </c>
      <c r="AU278">
        <v>1717200</v>
      </c>
    </row>
    <row r="279" spans="1:47" x14ac:dyDescent="0.3">
      <c r="A279" s="1">
        <v>46170</v>
      </c>
      <c r="B279" t="s">
        <v>359</v>
      </c>
      <c r="C279">
        <v>4</v>
      </c>
      <c r="D279" t="s">
        <v>200</v>
      </c>
      <c r="E279" t="s">
        <v>348</v>
      </c>
      <c r="F279" t="s">
        <v>66</v>
      </c>
      <c r="G279">
        <v>28</v>
      </c>
      <c r="H279">
        <v>28</v>
      </c>
      <c r="I279">
        <v>566000</v>
      </c>
      <c r="J279">
        <v>0</v>
      </c>
      <c r="K279" t="s">
        <v>51</v>
      </c>
      <c r="L279" s="1">
        <v>46171</v>
      </c>
      <c r="M279" s="1">
        <v>46173</v>
      </c>
      <c r="N279" t="s">
        <v>81</v>
      </c>
      <c r="P279">
        <v>277</v>
      </c>
      <c r="Q279" t="s">
        <v>201</v>
      </c>
      <c r="R279" t="s">
        <v>75</v>
      </c>
      <c r="S279" t="s">
        <v>55</v>
      </c>
      <c r="T279" t="s">
        <v>56</v>
      </c>
      <c r="U279" t="s">
        <v>349</v>
      </c>
      <c r="V279" t="s">
        <v>109</v>
      </c>
      <c r="W279" t="s">
        <v>110</v>
      </c>
      <c r="X279">
        <v>480000</v>
      </c>
      <c r="Y279">
        <v>566000</v>
      </c>
      <c r="Z279" t="s">
        <v>56</v>
      </c>
      <c r="AA279" t="s">
        <v>60</v>
      </c>
      <c r="AB279" t="s">
        <v>74</v>
      </c>
      <c r="AC279" t="s">
        <v>75</v>
      </c>
      <c r="AD279" t="s">
        <v>76</v>
      </c>
      <c r="AE279">
        <v>15848000</v>
      </c>
      <c r="AF279">
        <v>13440000</v>
      </c>
      <c r="AG279">
        <v>2408000</v>
      </c>
      <c r="AH279" t="b">
        <v>1</v>
      </c>
      <c r="AI279" t="b">
        <v>1</v>
      </c>
      <c r="AJ279">
        <v>0</v>
      </c>
      <c r="AK279">
        <v>2</v>
      </c>
      <c r="AL279" t="b">
        <v>1</v>
      </c>
      <c r="AM279" t="b">
        <v>0</v>
      </c>
      <c r="AN279">
        <v>15848000</v>
      </c>
      <c r="AO279">
        <v>2408000</v>
      </c>
      <c r="AP279">
        <v>28</v>
      </c>
      <c r="AQ279">
        <v>28</v>
      </c>
      <c r="AR279">
        <v>0</v>
      </c>
      <c r="AS279">
        <v>1</v>
      </c>
      <c r="AT279">
        <v>0</v>
      </c>
      <c r="AU279">
        <v>2408000</v>
      </c>
    </row>
    <row r="280" spans="1:47" x14ac:dyDescent="0.3">
      <c r="A280" s="1">
        <v>46118</v>
      </c>
      <c r="B280" t="s">
        <v>495</v>
      </c>
      <c r="C280">
        <v>3</v>
      </c>
      <c r="D280" t="s">
        <v>223</v>
      </c>
      <c r="E280" t="s">
        <v>147</v>
      </c>
      <c r="F280" t="s">
        <v>114</v>
      </c>
      <c r="G280">
        <v>1</v>
      </c>
      <c r="H280">
        <v>1</v>
      </c>
      <c r="I280">
        <v>614000</v>
      </c>
      <c r="J280">
        <v>0.1</v>
      </c>
      <c r="K280" t="s">
        <v>51</v>
      </c>
      <c r="L280" s="1">
        <v>46121</v>
      </c>
      <c r="M280" s="1">
        <v>46121</v>
      </c>
      <c r="N280" t="s">
        <v>81</v>
      </c>
      <c r="P280">
        <v>278</v>
      </c>
      <c r="Q280" t="s">
        <v>224</v>
      </c>
      <c r="R280" t="s">
        <v>83</v>
      </c>
      <c r="S280" t="s">
        <v>55</v>
      </c>
      <c r="T280" t="s">
        <v>56</v>
      </c>
      <c r="U280" t="s">
        <v>149</v>
      </c>
      <c r="V280" t="s">
        <v>138</v>
      </c>
      <c r="W280" t="s">
        <v>139</v>
      </c>
      <c r="X280">
        <v>480000</v>
      </c>
      <c r="Y280">
        <v>614000</v>
      </c>
      <c r="Z280" t="s">
        <v>56</v>
      </c>
      <c r="AA280" t="s">
        <v>129</v>
      </c>
      <c r="AB280" t="s">
        <v>117</v>
      </c>
      <c r="AC280" t="s">
        <v>83</v>
      </c>
      <c r="AD280" t="s">
        <v>130</v>
      </c>
      <c r="AE280">
        <v>552600</v>
      </c>
      <c r="AF280">
        <v>480000</v>
      </c>
      <c r="AG280">
        <v>72600</v>
      </c>
      <c r="AH280" t="b">
        <v>1</v>
      </c>
      <c r="AI280" t="b">
        <v>1</v>
      </c>
      <c r="AJ280">
        <v>1</v>
      </c>
      <c r="AK280">
        <v>0</v>
      </c>
      <c r="AL280" t="b">
        <v>1</v>
      </c>
      <c r="AM280" t="b">
        <v>0</v>
      </c>
      <c r="AN280">
        <v>552600</v>
      </c>
      <c r="AO280">
        <v>72600</v>
      </c>
      <c r="AP280">
        <v>1</v>
      </c>
      <c r="AQ280">
        <v>1</v>
      </c>
      <c r="AR280">
        <v>1</v>
      </c>
      <c r="AS280">
        <v>1</v>
      </c>
      <c r="AT280">
        <v>0</v>
      </c>
      <c r="AU280">
        <v>72600</v>
      </c>
    </row>
    <row r="281" spans="1:47" x14ac:dyDescent="0.3">
      <c r="A281" s="1">
        <v>46049</v>
      </c>
      <c r="B281" t="s">
        <v>496</v>
      </c>
      <c r="C281">
        <v>3</v>
      </c>
      <c r="D281" t="s">
        <v>344</v>
      </c>
      <c r="E281" t="s">
        <v>79</v>
      </c>
      <c r="F281" t="s">
        <v>114</v>
      </c>
      <c r="G281">
        <v>20</v>
      </c>
      <c r="H281">
        <v>0</v>
      </c>
      <c r="I281">
        <v>150000</v>
      </c>
      <c r="J281">
        <v>0.05</v>
      </c>
      <c r="K281" t="s">
        <v>127</v>
      </c>
      <c r="L281" s="1">
        <v>46059</v>
      </c>
      <c r="N281" t="s">
        <v>52</v>
      </c>
      <c r="P281">
        <v>279</v>
      </c>
      <c r="Q281" t="s">
        <v>345</v>
      </c>
      <c r="R281" t="s">
        <v>54</v>
      </c>
      <c r="S281" t="s">
        <v>84</v>
      </c>
      <c r="T281" t="s">
        <v>56</v>
      </c>
      <c r="U281" t="s">
        <v>85</v>
      </c>
      <c r="V281" t="s">
        <v>86</v>
      </c>
      <c r="W281" t="s">
        <v>87</v>
      </c>
      <c r="X281">
        <v>120000</v>
      </c>
      <c r="Y281">
        <v>150000</v>
      </c>
      <c r="Z281" t="s">
        <v>56</v>
      </c>
      <c r="AA281" t="s">
        <v>60</v>
      </c>
      <c r="AB281" t="s">
        <v>117</v>
      </c>
      <c r="AC281" t="s">
        <v>83</v>
      </c>
      <c r="AD281" t="s">
        <v>94</v>
      </c>
      <c r="AE281">
        <v>0</v>
      </c>
      <c r="AG281">
        <v>0</v>
      </c>
      <c r="AH281" t="b">
        <v>1</v>
      </c>
      <c r="AI281" t="b">
        <v>0</v>
      </c>
      <c r="AL281" t="b">
        <v>0</v>
      </c>
      <c r="AM281" t="b">
        <v>0</v>
      </c>
      <c r="AN281">
        <v>0</v>
      </c>
      <c r="AO281">
        <v>0</v>
      </c>
      <c r="AP281">
        <v>0</v>
      </c>
      <c r="AQ281">
        <v>0</v>
      </c>
      <c r="AR281">
        <v>0</v>
      </c>
      <c r="AS281">
        <v>0</v>
      </c>
      <c r="AT281">
        <v>0</v>
      </c>
      <c r="AU281">
        <v>0</v>
      </c>
    </row>
    <row r="282" spans="1:47" x14ac:dyDescent="0.3">
      <c r="A282" s="1">
        <v>46134</v>
      </c>
      <c r="B282" t="s">
        <v>425</v>
      </c>
      <c r="C282">
        <v>3</v>
      </c>
      <c r="D282" t="s">
        <v>245</v>
      </c>
      <c r="E282" t="s">
        <v>91</v>
      </c>
      <c r="F282" t="s">
        <v>80</v>
      </c>
      <c r="G282">
        <v>11</v>
      </c>
      <c r="H282">
        <v>0</v>
      </c>
      <c r="I282">
        <v>2250000</v>
      </c>
      <c r="J282">
        <v>0.05</v>
      </c>
      <c r="K282" t="s">
        <v>127</v>
      </c>
      <c r="L282" s="1">
        <v>46135</v>
      </c>
      <c r="N282" t="s">
        <v>81</v>
      </c>
      <c r="P282">
        <v>280</v>
      </c>
      <c r="Q282" t="s">
        <v>247</v>
      </c>
      <c r="R282" t="s">
        <v>75</v>
      </c>
      <c r="S282" t="s">
        <v>123</v>
      </c>
      <c r="T282" t="s">
        <v>56</v>
      </c>
      <c r="U282" t="s">
        <v>93</v>
      </c>
      <c r="V282" t="s">
        <v>86</v>
      </c>
      <c r="W282" t="s">
        <v>87</v>
      </c>
      <c r="X282">
        <v>1800000</v>
      </c>
      <c r="Y282">
        <v>2250000</v>
      </c>
      <c r="Z282" t="s">
        <v>56</v>
      </c>
      <c r="AA282" t="s">
        <v>60</v>
      </c>
      <c r="AB282" t="s">
        <v>88</v>
      </c>
      <c r="AC282" t="s">
        <v>83</v>
      </c>
      <c r="AD282" t="s">
        <v>130</v>
      </c>
      <c r="AE282">
        <v>0</v>
      </c>
      <c r="AG282">
        <v>0</v>
      </c>
      <c r="AH282" t="b">
        <v>1</v>
      </c>
      <c r="AI282" t="b">
        <v>0</v>
      </c>
      <c r="AL282" t="b">
        <v>0</v>
      </c>
      <c r="AM282" t="b">
        <v>0</v>
      </c>
      <c r="AN282">
        <v>0</v>
      </c>
      <c r="AO282">
        <v>0</v>
      </c>
      <c r="AP282">
        <v>0</v>
      </c>
      <c r="AQ282">
        <v>0</v>
      </c>
      <c r="AR282">
        <v>0</v>
      </c>
      <c r="AS282">
        <v>0</v>
      </c>
      <c r="AT282">
        <v>0</v>
      </c>
      <c r="AU282">
        <v>0</v>
      </c>
    </row>
    <row r="283" spans="1:47" x14ac:dyDescent="0.3">
      <c r="A283" s="1">
        <v>46080</v>
      </c>
      <c r="B283" t="s">
        <v>497</v>
      </c>
      <c r="C283">
        <v>2</v>
      </c>
      <c r="D283" t="s">
        <v>333</v>
      </c>
      <c r="E283" t="s">
        <v>142</v>
      </c>
      <c r="F283" t="s">
        <v>80</v>
      </c>
      <c r="G283">
        <v>8</v>
      </c>
      <c r="H283">
        <v>8</v>
      </c>
      <c r="I283">
        <v>413000</v>
      </c>
      <c r="J283">
        <v>0.05</v>
      </c>
      <c r="K283" t="s">
        <v>51</v>
      </c>
      <c r="L283" s="1">
        <v>46090</v>
      </c>
      <c r="M283" s="1">
        <v>46090</v>
      </c>
      <c r="N283" t="s">
        <v>106</v>
      </c>
      <c r="P283">
        <v>281</v>
      </c>
      <c r="Q283" t="s">
        <v>334</v>
      </c>
      <c r="R283" t="s">
        <v>75</v>
      </c>
      <c r="S283" t="s">
        <v>123</v>
      </c>
      <c r="T283" t="s">
        <v>56</v>
      </c>
      <c r="U283" t="s">
        <v>144</v>
      </c>
      <c r="V283" t="s">
        <v>109</v>
      </c>
      <c r="W283" t="s">
        <v>110</v>
      </c>
      <c r="X283">
        <v>350000</v>
      </c>
      <c r="Y283">
        <v>413000</v>
      </c>
      <c r="Z283" t="s">
        <v>56</v>
      </c>
      <c r="AA283" t="s">
        <v>129</v>
      </c>
      <c r="AB283" t="s">
        <v>88</v>
      </c>
      <c r="AC283" t="s">
        <v>83</v>
      </c>
      <c r="AD283" t="s">
        <v>158</v>
      </c>
      <c r="AE283">
        <v>3138800</v>
      </c>
      <c r="AF283">
        <v>2800000</v>
      </c>
      <c r="AG283">
        <v>338800</v>
      </c>
      <c r="AH283" t="b">
        <v>1</v>
      </c>
      <c r="AI283" t="b">
        <v>1</v>
      </c>
      <c r="AJ283">
        <v>1</v>
      </c>
      <c r="AK283">
        <v>0</v>
      </c>
      <c r="AL283" t="b">
        <v>1</v>
      </c>
      <c r="AM283" t="b">
        <v>0</v>
      </c>
      <c r="AN283">
        <v>3138800</v>
      </c>
      <c r="AO283">
        <v>338800</v>
      </c>
      <c r="AP283">
        <v>8</v>
      </c>
      <c r="AQ283">
        <v>8</v>
      </c>
      <c r="AR283">
        <v>1</v>
      </c>
      <c r="AS283">
        <v>1</v>
      </c>
      <c r="AT283">
        <v>0</v>
      </c>
      <c r="AU283">
        <v>338800</v>
      </c>
    </row>
    <row r="284" spans="1:47" x14ac:dyDescent="0.3">
      <c r="A284" s="1">
        <v>46175</v>
      </c>
      <c r="B284" t="s">
        <v>498</v>
      </c>
      <c r="C284">
        <v>1</v>
      </c>
      <c r="D284" t="s">
        <v>333</v>
      </c>
      <c r="E284" t="s">
        <v>220</v>
      </c>
      <c r="F284" t="s">
        <v>114</v>
      </c>
      <c r="G284">
        <v>27</v>
      </c>
      <c r="H284">
        <v>26</v>
      </c>
      <c r="I284">
        <v>234000</v>
      </c>
      <c r="J284">
        <v>0.02</v>
      </c>
      <c r="K284" t="s">
        <v>51</v>
      </c>
      <c r="L284" s="1">
        <v>46180</v>
      </c>
      <c r="M284" s="1">
        <v>46183</v>
      </c>
      <c r="N284" t="s">
        <v>81</v>
      </c>
      <c r="P284">
        <v>282</v>
      </c>
      <c r="Q284" t="s">
        <v>334</v>
      </c>
      <c r="R284" t="s">
        <v>75</v>
      </c>
      <c r="S284" t="s">
        <v>123</v>
      </c>
      <c r="T284" t="s">
        <v>56</v>
      </c>
      <c r="U284" t="s">
        <v>221</v>
      </c>
      <c r="V284" t="s">
        <v>58</v>
      </c>
      <c r="W284" t="s">
        <v>59</v>
      </c>
      <c r="X284">
        <v>180000</v>
      </c>
      <c r="Y284">
        <v>234000</v>
      </c>
      <c r="Z284" t="s">
        <v>56</v>
      </c>
      <c r="AA284" t="s">
        <v>60</v>
      </c>
      <c r="AB284" t="s">
        <v>117</v>
      </c>
      <c r="AC284" t="s">
        <v>83</v>
      </c>
      <c r="AD284" t="s">
        <v>118</v>
      </c>
      <c r="AE284">
        <v>5962320</v>
      </c>
      <c r="AF284">
        <v>4680000</v>
      </c>
      <c r="AG284">
        <v>1282320</v>
      </c>
      <c r="AH284" t="b">
        <v>1</v>
      </c>
      <c r="AI284" t="b">
        <v>1</v>
      </c>
      <c r="AJ284">
        <v>0</v>
      </c>
      <c r="AK284">
        <v>3</v>
      </c>
      <c r="AL284" t="b">
        <v>1</v>
      </c>
      <c r="AM284" t="b">
        <v>0</v>
      </c>
      <c r="AN284">
        <v>5962320</v>
      </c>
      <c r="AO284">
        <v>1282320</v>
      </c>
      <c r="AP284">
        <v>26</v>
      </c>
      <c r="AQ284">
        <v>27</v>
      </c>
      <c r="AR284">
        <v>0</v>
      </c>
      <c r="AS284">
        <v>1</v>
      </c>
      <c r="AT284">
        <v>0</v>
      </c>
      <c r="AU284">
        <v>1282320</v>
      </c>
    </row>
    <row r="285" spans="1:47" x14ac:dyDescent="0.3">
      <c r="A285" s="1">
        <v>46075</v>
      </c>
      <c r="B285" t="s">
        <v>499</v>
      </c>
      <c r="C285">
        <v>3</v>
      </c>
      <c r="D285" t="s">
        <v>96</v>
      </c>
      <c r="E285" t="s">
        <v>236</v>
      </c>
      <c r="F285" t="s">
        <v>50</v>
      </c>
      <c r="G285">
        <v>9</v>
      </c>
      <c r="H285">
        <v>8</v>
      </c>
      <c r="I285">
        <v>448000</v>
      </c>
      <c r="J285">
        <v>0.1</v>
      </c>
      <c r="K285" t="s">
        <v>51</v>
      </c>
      <c r="L285" s="1">
        <v>46082</v>
      </c>
      <c r="M285" s="1">
        <v>46081</v>
      </c>
      <c r="N285" t="s">
        <v>52</v>
      </c>
      <c r="P285">
        <v>283</v>
      </c>
      <c r="Q285" t="s">
        <v>99</v>
      </c>
      <c r="R285" t="s">
        <v>75</v>
      </c>
      <c r="S285" t="s">
        <v>55</v>
      </c>
      <c r="T285" t="s">
        <v>56</v>
      </c>
      <c r="U285" t="s">
        <v>237</v>
      </c>
      <c r="V285" t="s">
        <v>138</v>
      </c>
      <c r="W285" t="s">
        <v>139</v>
      </c>
      <c r="X285">
        <v>350000</v>
      </c>
      <c r="Y285">
        <v>448000</v>
      </c>
      <c r="Z285" t="s">
        <v>134</v>
      </c>
      <c r="AA285" t="s">
        <v>73</v>
      </c>
      <c r="AB285" t="s">
        <v>61</v>
      </c>
      <c r="AC285" t="s">
        <v>54</v>
      </c>
      <c r="AD285" t="s">
        <v>158</v>
      </c>
      <c r="AE285">
        <v>3225600</v>
      </c>
      <c r="AF285">
        <v>2800000</v>
      </c>
      <c r="AG285">
        <v>425600</v>
      </c>
      <c r="AH285" t="b">
        <v>1</v>
      </c>
      <c r="AI285" t="b">
        <v>1</v>
      </c>
      <c r="AJ285">
        <v>1</v>
      </c>
      <c r="AK285">
        <v>-1</v>
      </c>
      <c r="AL285" t="b">
        <v>1</v>
      </c>
      <c r="AM285" t="b">
        <v>0</v>
      </c>
      <c r="AN285">
        <v>3225600</v>
      </c>
      <c r="AO285">
        <v>425600</v>
      </c>
      <c r="AP285">
        <v>8</v>
      </c>
      <c r="AQ285">
        <v>9</v>
      </c>
      <c r="AR285">
        <v>1</v>
      </c>
      <c r="AS285">
        <v>1</v>
      </c>
      <c r="AT285">
        <v>0</v>
      </c>
      <c r="AU285">
        <v>425600</v>
      </c>
    </row>
    <row r="286" spans="1:47" x14ac:dyDescent="0.3">
      <c r="A286" s="1">
        <v>46052</v>
      </c>
      <c r="B286" t="s">
        <v>500</v>
      </c>
      <c r="C286">
        <v>4</v>
      </c>
      <c r="D286" t="s">
        <v>288</v>
      </c>
      <c r="E286" t="s">
        <v>147</v>
      </c>
      <c r="F286" t="s">
        <v>50</v>
      </c>
      <c r="G286">
        <v>-6</v>
      </c>
      <c r="H286">
        <v>-6</v>
      </c>
      <c r="I286">
        <v>614000</v>
      </c>
      <c r="J286">
        <v>0.1</v>
      </c>
      <c r="K286" t="s">
        <v>216</v>
      </c>
      <c r="L286" s="1">
        <v>46057</v>
      </c>
      <c r="M286" s="1">
        <v>46057</v>
      </c>
      <c r="N286" t="s">
        <v>81</v>
      </c>
      <c r="P286">
        <v>284</v>
      </c>
      <c r="Q286" t="s">
        <v>289</v>
      </c>
      <c r="R286" t="s">
        <v>83</v>
      </c>
      <c r="S286" t="s">
        <v>69</v>
      </c>
      <c r="T286" t="s">
        <v>56</v>
      </c>
      <c r="U286" t="s">
        <v>149</v>
      </c>
      <c r="V286" t="s">
        <v>138</v>
      </c>
      <c r="W286" t="s">
        <v>139</v>
      </c>
      <c r="X286">
        <v>480000</v>
      </c>
      <c r="Y286">
        <v>614000</v>
      </c>
      <c r="Z286" t="s">
        <v>56</v>
      </c>
      <c r="AA286" t="s">
        <v>129</v>
      </c>
      <c r="AB286" t="s">
        <v>61</v>
      </c>
      <c r="AC286" t="s">
        <v>54</v>
      </c>
      <c r="AD286" t="s">
        <v>94</v>
      </c>
      <c r="AE286">
        <v>-3315600</v>
      </c>
      <c r="AF286">
        <v>-2880000</v>
      </c>
      <c r="AG286">
        <v>-435600</v>
      </c>
      <c r="AH286" t="b">
        <v>1</v>
      </c>
      <c r="AI286" t="b">
        <v>1</v>
      </c>
      <c r="AJ286">
        <v>1</v>
      </c>
      <c r="AK286">
        <v>0</v>
      </c>
      <c r="AL286" t="b">
        <v>0</v>
      </c>
      <c r="AM286" t="b">
        <v>1</v>
      </c>
      <c r="AN286">
        <v>-3315600</v>
      </c>
      <c r="AO286">
        <v>-435600</v>
      </c>
      <c r="AP286">
        <v>0</v>
      </c>
      <c r="AQ286">
        <v>0</v>
      </c>
      <c r="AR286">
        <v>1</v>
      </c>
      <c r="AS286">
        <v>1</v>
      </c>
      <c r="AT286">
        <v>-3315600</v>
      </c>
      <c r="AU286">
        <v>-435600</v>
      </c>
    </row>
    <row r="287" spans="1:47" x14ac:dyDescent="0.3">
      <c r="A287" s="1">
        <v>46033</v>
      </c>
      <c r="B287" t="s">
        <v>501</v>
      </c>
      <c r="C287">
        <v>4</v>
      </c>
      <c r="D287" t="s">
        <v>141</v>
      </c>
      <c r="E287" t="s">
        <v>273</v>
      </c>
      <c r="F287" t="s">
        <v>50</v>
      </c>
      <c r="G287">
        <v>16</v>
      </c>
      <c r="H287">
        <v>16</v>
      </c>
      <c r="I287">
        <v>2304000</v>
      </c>
      <c r="J287">
        <v>0</v>
      </c>
      <c r="K287" t="s">
        <v>51</v>
      </c>
      <c r="L287" s="1">
        <v>46040</v>
      </c>
      <c r="M287" s="1">
        <v>46043</v>
      </c>
      <c r="N287" t="s">
        <v>67</v>
      </c>
      <c r="P287">
        <v>285</v>
      </c>
      <c r="Q287" t="s">
        <v>143</v>
      </c>
      <c r="R287" t="s">
        <v>75</v>
      </c>
      <c r="S287" t="s">
        <v>55</v>
      </c>
      <c r="T287" t="s">
        <v>56</v>
      </c>
      <c r="U287" t="s">
        <v>274</v>
      </c>
      <c r="V287" t="s">
        <v>138</v>
      </c>
      <c r="W287" t="s">
        <v>139</v>
      </c>
      <c r="X287">
        <v>1800000</v>
      </c>
      <c r="Y287">
        <v>2304000</v>
      </c>
      <c r="Z287" t="s">
        <v>56</v>
      </c>
      <c r="AA287" t="s">
        <v>73</v>
      </c>
      <c r="AB287" t="s">
        <v>61</v>
      </c>
      <c r="AC287" t="s">
        <v>54</v>
      </c>
      <c r="AD287" t="s">
        <v>94</v>
      </c>
      <c r="AE287">
        <v>36864000</v>
      </c>
      <c r="AF287">
        <v>28800000</v>
      </c>
      <c r="AG287">
        <v>8064000</v>
      </c>
      <c r="AH287" t="b">
        <v>1</v>
      </c>
      <c r="AI287" t="b">
        <v>1</v>
      </c>
      <c r="AJ287">
        <v>0</v>
      </c>
      <c r="AK287">
        <v>3</v>
      </c>
      <c r="AL287" t="b">
        <v>1</v>
      </c>
      <c r="AM287" t="b">
        <v>0</v>
      </c>
      <c r="AN287">
        <v>36864000</v>
      </c>
      <c r="AO287">
        <v>8064000</v>
      </c>
      <c r="AP287">
        <v>16</v>
      </c>
      <c r="AQ287">
        <v>16</v>
      </c>
      <c r="AR287">
        <v>0</v>
      </c>
      <c r="AS287">
        <v>1</v>
      </c>
      <c r="AT287">
        <v>0</v>
      </c>
      <c r="AU287">
        <v>8064000</v>
      </c>
    </row>
    <row r="288" spans="1:47" x14ac:dyDescent="0.3">
      <c r="A288" s="1">
        <v>46061</v>
      </c>
      <c r="B288" t="s">
        <v>502</v>
      </c>
      <c r="C288">
        <v>1</v>
      </c>
      <c r="D288" t="s">
        <v>336</v>
      </c>
      <c r="E288" t="s">
        <v>121</v>
      </c>
      <c r="F288" t="s">
        <v>80</v>
      </c>
      <c r="G288">
        <v>-5</v>
      </c>
      <c r="H288">
        <v>-5</v>
      </c>
      <c r="I288">
        <v>225000</v>
      </c>
      <c r="J288">
        <v>0.02</v>
      </c>
      <c r="K288" t="s">
        <v>216</v>
      </c>
      <c r="L288" s="1">
        <v>46066</v>
      </c>
      <c r="M288" s="1">
        <v>46065</v>
      </c>
      <c r="N288" t="s">
        <v>106</v>
      </c>
      <c r="P288">
        <v>286</v>
      </c>
      <c r="Q288" t="s">
        <v>337</v>
      </c>
      <c r="R288" t="s">
        <v>75</v>
      </c>
      <c r="S288" t="s">
        <v>84</v>
      </c>
      <c r="T288" t="s">
        <v>56</v>
      </c>
      <c r="U288" t="s">
        <v>124</v>
      </c>
      <c r="V288" t="s">
        <v>86</v>
      </c>
      <c r="W288" t="s">
        <v>87</v>
      </c>
      <c r="X288">
        <v>180000</v>
      </c>
      <c r="Y288">
        <v>225000</v>
      </c>
      <c r="Z288" t="s">
        <v>56</v>
      </c>
      <c r="AA288" t="s">
        <v>60</v>
      </c>
      <c r="AB288" t="s">
        <v>88</v>
      </c>
      <c r="AC288" t="s">
        <v>83</v>
      </c>
      <c r="AD288" t="s">
        <v>158</v>
      </c>
      <c r="AE288">
        <v>-1102500</v>
      </c>
      <c r="AF288">
        <v>-900000</v>
      </c>
      <c r="AG288">
        <v>-202500</v>
      </c>
      <c r="AH288" t="b">
        <v>1</v>
      </c>
      <c r="AI288" t="b">
        <v>1</v>
      </c>
      <c r="AJ288">
        <v>1</v>
      </c>
      <c r="AK288">
        <v>-1</v>
      </c>
      <c r="AL288" t="b">
        <v>0</v>
      </c>
      <c r="AM288" t="b">
        <v>1</v>
      </c>
      <c r="AN288">
        <v>-1102500</v>
      </c>
      <c r="AO288">
        <v>-202500</v>
      </c>
      <c r="AP288">
        <v>0</v>
      </c>
      <c r="AQ288">
        <v>0</v>
      </c>
      <c r="AR288">
        <v>1</v>
      </c>
      <c r="AS288">
        <v>1</v>
      </c>
      <c r="AT288">
        <v>-1102500</v>
      </c>
      <c r="AU288">
        <v>-202500</v>
      </c>
    </row>
    <row r="289" spans="1:47" x14ac:dyDescent="0.3">
      <c r="A289" s="1">
        <v>46067</v>
      </c>
      <c r="B289" t="s">
        <v>503</v>
      </c>
      <c r="C289">
        <v>3</v>
      </c>
      <c r="D289" t="s">
        <v>300</v>
      </c>
      <c r="E289" t="s">
        <v>132</v>
      </c>
      <c r="F289" t="s">
        <v>66</v>
      </c>
      <c r="G289">
        <v>8</v>
      </c>
      <c r="H289">
        <v>8</v>
      </c>
      <c r="I289">
        <v>413000</v>
      </c>
      <c r="J289">
        <v>0</v>
      </c>
      <c r="K289" t="s">
        <v>51</v>
      </c>
      <c r="L289" s="1">
        <v>46077</v>
      </c>
      <c r="M289" s="1">
        <v>46080</v>
      </c>
      <c r="N289" t="s">
        <v>81</v>
      </c>
      <c r="P289">
        <v>287</v>
      </c>
      <c r="Q289" t="s">
        <v>301</v>
      </c>
      <c r="R289" t="s">
        <v>83</v>
      </c>
      <c r="S289" t="s">
        <v>123</v>
      </c>
      <c r="T289" t="s">
        <v>56</v>
      </c>
      <c r="U289" t="s">
        <v>133</v>
      </c>
      <c r="V289" t="s">
        <v>109</v>
      </c>
      <c r="W289" t="s">
        <v>110</v>
      </c>
      <c r="X289">
        <v>350000</v>
      </c>
      <c r="Y289">
        <v>413000</v>
      </c>
      <c r="Z289" t="s">
        <v>134</v>
      </c>
      <c r="AA289" t="s">
        <v>73</v>
      </c>
      <c r="AB289" t="s">
        <v>74</v>
      </c>
      <c r="AC289" t="s">
        <v>75</v>
      </c>
      <c r="AD289" t="s">
        <v>158</v>
      </c>
      <c r="AE289">
        <v>3304000</v>
      </c>
      <c r="AF289">
        <v>2800000</v>
      </c>
      <c r="AG289">
        <v>504000</v>
      </c>
      <c r="AH289" t="b">
        <v>1</v>
      </c>
      <c r="AI289" t="b">
        <v>1</v>
      </c>
      <c r="AJ289">
        <v>0</v>
      </c>
      <c r="AK289">
        <v>3</v>
      </c>
      <c r="AL289" t="b">
        <v>1</v>
      </c>
      <c r="AM289" t="b">
        <v>0</v>
      </c>
      <c r="AN289">
        <v>3304000</v>
      </c>
      <c r="AO289">
        <v>504000</v>
      </c>
      <c r="AP289">
        <v>8</v>
      </c>
      <c r="AQ289">
        <v>8</v>
      </c>
      <c r="AR289">
        <v>0</v>
      </c>
      <c r="AS289">
        <v>1</v>
      </c>
      <c r="AT289">
        <v>0</v>
      </c>
      <c r="AU289">
        <v>504000</v>
      </c>
    </row>
    <row r="290" spans="1:47" x14ac:dyDescent="0.3">
      <c r="A290" s="1">
        <v>46107</v>
      </c>
      <c r="B290" t="s">
        <v>504</v>
      </c>
      <c r="C290">
        <v>4</v>
      </c>
      <c r="D290" t="s">
        <v>262</v>
      </c>
      <c r="E290" t="s">
        <v>113</v>
      </c>
      <c r="F290" t="s">
        <v>114</v>
      </c>
      <c r="G290">
        <v>24</v>
      </c>
      <c r="H290">
        <v>5</v>
      </c>
      <c r="I290">
        <v>648000</v>
      </c>
      <c r="J290">
        <v>0</v>
      </c>
      <c r="K290" t="s">
        <v>98</v>
      </c>
      <c r="L290" s="1">
        <v>46112</v>
      </c>
      <c r="N290" t="s">
        <v>67</v>
      </c>
      <c r="P290">
        <v>288</v>
      </c>
      <c r="Q290" t="s">
        <v>263</v>
      </c>
      <c r="R290" t="s">
        <v>83</v>
      </c>
      <c r="S290" t="s">
        <v>55</v>
      </c>
      <c r="T290" t="s">
        <v>56</v>
      </c>
      <c r="U290" t="s">
        <v>116</v>
      </c>
      <c r="V290" t="s">
        <v>71</v>
      </c>
      <c r="W290" t="s">
        <v>72</v>
      </c>
      <c r="X290">
        <v>480000</v>
      </c>
      <c r="Y290">
        <v>648000</v>
      </c>
      <c r="Z290" t="s">
        <v>56</v>
      </c>
      <c r="AA290" t="s">
        <v>60</v>
      </c>
      <c r="AB290" t="s">
        <v>117</v>
      </c>
      <c r="AC290" t="s">
        <v>83</v>
      </c>
      <c r="AD290" t="s">
        <v>62</v>
      </c>
      <c r="AE290">
        <v>3240000</v>
      </c>
      <c r="AF290">
        <v>2400000</v>
      </c>
      <c r="AG290">
        <v>840000</v>
      </c>
      <c r="AH290" t="b">
        <v>1</v>
      </c>
      <c r="AI290" t="b">
        <v>0</v>
      </c>
      <c r="AL290" t="b">
        <v>1</v>
      </c>
      <c r="AM290" t="b">
        <v>0</v>
      </c>
      <c r="AN290">
        <v>3240000</v>
      </c>
      <c r="AO290">
        <v>840000</v>
      </c>
      <c r="AP290">
        <v>5</v>
      </c>
      <c r="AQ290">
        <v>24</v>
      </c>
      <c r="AR290">
        <v>0</v>
      </c>
      <c r="AS290">
        <v>0</v>
      </c>
      <c r="AT290">
        <v>0</v>
      </c>
      <c r="AU290">
        <v>840000</v>
      </c>
    </row>
    <row r="291" spans="1:47" x14ac:dyDescent="0.3">
      <c r="A291" s="1">
        <v>46139</v>
      </c>
      <c r="B291" t="s">
        <v>469</v>
      </c>
      <c r="C291">
        <v>4</v>
      </c>
      <c r="D291" t="s">
        <v>215</v>
      </c>
      <c r="E291" t="s">
        <v>167</v>
      </c>
      <c r="F291" t="s">
        <v>80</v>
      </c>
      <c r="G291">
        <v>8</v>
      </c>
      <c r="H291">
        <v>8</v>
      </c>
      <c r="I291">
        <v>1062000</v>
      </c>
      <c r="J291">
        <v>0</v>
      </c>
      <c r="K291" t="s">
        <v>51</v>
      </c>
      <c r="L291" s="1">
        <v>46140</v>
      </c>
      <c r="M291" s="1">
        <v>46141</v>
      </c>
      <c r="N291" t="s">
        <v>67</v>
      </c>
      <c r="P291">
        <v>289</v>
      </c>
      <c r="Q291" t="s">
        <v>217</v>
      </c>
      <c r="R291" t="s">
        <v>54</v>
      </c>
      <c r="S291" t="s">
        <v>69</v>
      </c>
      <c r="T291" t="s">
        <v>218</v>
      </c>
      <c r="U291" t="s">
        <v>169</v>
      </c>
      <c r="V291" t="s">
        <v>109</v>
      </c>
      <c r="W291" t="s">
        <v>110</v>
      </c>
      <c r="X291">
        <v>900000</v>
      </c>
      <c r="Y291">
        <v>1062000</v>
      </c>
      <c r="Z291" t="s">
        <v>56</v>
      </c>
      <c r="AA291" t="s">
        <v>60</v>
      </c>
      <c r="AB291" t="s">
        <v>88</v>
      </c>
      <c r="AC291" t="s">
        <v>83</v>
      </c>
      <c r="AD291" t="s">
        <v>130</v>
      </c>
      <c r="AE291">
        <v>8496000</v>
      </c>
      <c r="AF291">
        <v>7200000</v>
      </c>
      <c r="AG291">
        <v>1296000</v>
      </c>
      <c r="AH291" t="b">
        <v>1</v>
      </c>
      <c r="AI291" t="b">
        <v>1</v>
      </c>
      <c r="AJ291">
        <v>0</v>
      </c>
      <c r="AK291">
        <v>1</v>
      </c>
      <c r="AL291" t="b">
        <v>1</v>
      </c>
      <c r="AM291" t="b">
        <v>0</v>
      </c>
      <c r="AN291">
        <v>8496000</v>
      </c>
      <c r="AO291">
        <v>1296000</v>
      </c>
      <c r="AP291">
        <v>8</v>
      </c>
      <c r="AQ291">
        <v>8</v>
      </c>
      <c r="AR291">
        <v>0</v>
      </c>
      <c r="AS291">
        <v>1</v>
      </c>
      <c r="AT291">
        <v>0</v>
      </c>
      <c r="AU291">
        <v>1296000</v>
      </c>
    </row>
    <row r="292" spans="1:47" x14ac:dyDescent="0.3">
      <c r="A292" s="1">
        <v>46168</v>
      </c>
      <c r="B292" t="s">
        <v>505</v>
      </c>
      <c r="C292">
        <v>2</v>
      </c>
      <c r="D292" t="s">
        <v>262</v>
      </c>
      <c r="E292" t="s">
        <v>136</v>
      </c>
      <c r="F292" t="s">
        <v>50</v>
      </c>
      <c r="G292">
        <v>2</v>
      </c>
      <c r="H292">
        <v>0</v>
      </c>
      <c r="I292">
        <v>2304000</v>
      </c>
      <c r="J292">
        <v>0.1</v>
      </c>
      <c r="K292" t="s">
        <v>127</v>
      </c>
      <c r="L292" s="1">
        <v>46170</v>
      </c>
      <c r="N292" t="s">
        <v>67</v>
      </c>
      <c r="P292">
        <v>290</v>
      </c>
      <c r="Q292" t="s">
        <v>263</v>
      </c>
      <c r="R292" t="s">
        <v>83</v>
      </c>
      <c r="S292" t="s">
        <v>55</v>
      </c>
      <c r="T292" t="s">
        <v>56</v>
      </c>
      <c r="U292" t="s">
        <v>137</v>
      </c>
      <c r="V292" t="s">
        <v>138</v>
      </c>
      <c r="W292" t="s">
        <v>139</v>
      </c>
      <c r="X292">
        <v>1800000</v>
      </c>
      <c r="Y292">
        <v>2304000</v>
      </c>
      <c r="Z292" t="s">
        <v>56</v>
      </c>
      <c r="AA292" t="s">
        <v>129</v>
      </c>
      <c r="AB292" t="s">
        <v>61</v>
      </c>
      <c r="AC292" t="s">
        <v>54</v>
      </c>
      <c r="AD292" t="s">
        <v>76</v>
      </c>
      <c r="AE292">
        <v>0</v>
      </c>
      <c r="AG292">
        <v>0</v>
      </c>
      <c r="AH292" t="b">
        <v>1</v>
      </c>
      <c r="AI292" t="b">
        <v>0</v>
      </c>
      <c r="AL292" t="b">
        <v>0</v>
      </c>
      <c r="AM292" t="b">
        <v>0</v>
      </c>
      <c r="AN292">
        <v>0</v>
      </c>
      <c r="AO292">
        <v>0</v>
      </c>
      <c r="AP292">
        <v>0</v>
      </c>
      <c r="AQ292">
        <v>0</v>
      </c>
      <c r="AR292">
        <v>0</v>
      </c>
      <c r="AS292">
        <v>0</v>
      </c>
      <c r="AT292">
        <v>0</v>
      </c>
      <c r="AU292">
        <v>0</v>
      </c>
    </row>
    <row r="293" spans="1:47" x14ac:dyDescent="0.3">
      <c r="A293" s="1">
        <v>46147</v>
      </c>
      <c r="B293" t="s">
        <v>506</v>
      </c>
      <c r="C293">
        <v>4</v>
      </c>
      <c r="D293" t="s">
        <v>229</v>
      </c>
      <c r="E293" t="s">
        <v>105</v>
      </c>
      <c r="F293" t="s">
        <v>114</v>
      </c>
      <c r="G293">
        <v>17</v>
      </c>
      <c r="H293">
        <v>16</v>
      </c>
      <c r="I293">
        <v>212000</v>
      </c>
      <c r="J293">
        <v>0.1</v>
      </c>
      <c r="K293" t="s">
        <v>51</v>
      </c>
      <c r="L293" s="1">
        <v>46154</v>
      </c>
      <c r="M293" s="1">
        <v>46161</v>
      </c>
      <c r="N293" t="s">
        <v>81</v>
      </c>
      <c r="P293">
        <v>291</v>
      </c>
      <c r="Q293" t="s">
        <v>231</v>
      </c>
      <c r="R293" t="s">
        <v>83</v>
      </c>
      <c r="S293" t="s">
        <v>123</v>
      </c>
      <c r="T293" t="s">
        <v>56</v>
      </c>
      <c r="U293" t="s">
        <v>108</v>
      </c>
      <c r="V293" t="s">
        <v>109</v>
      </c>
      <c r="W293" t="s">
        <v>110</v>
      </c>
      <c r="X293">
        <v>180000</v>
      </c>
      <c r="Y293">
        <v>212000</v>
      </c>
      <c r="Z293" t="s">
        <v>56</v>
      </c>
      <c r="AA293" t="s">
        <v>73</v>
      </c>
      <c r="AB293" t="s">
        <v>117</v>
      </c>
      <c r="AC293" t="s">
        <v>83</v>
      </c>
      <c r="AD293" t="s">
        <v>76</v>
      </c>
      <c r="AE293">
        <v>3052800</v>
      </c>
      <c r="AF293">
        <v>2880000</v>
      </c>
      <c r="AG293">
        <v>172800</v>
      </c>
      <c r="AH293" t="b">
        <v>1</v>
      </c>
      <c r="AI293" t="b">
        <v>1</v>
      </c>
      <c r="AJ293">
        <v>0</v>
      </c>
      <c r="AK293">
        <v>7</v>
      </c>
      <c r="AL293" t="b">
        <v>1</v>
      </c>
      <c r="AM293" t="b">
        <v>0</v>
      </c>
      <c r="AN293">
        <v>3052800</v>
      </c>
      <c r="AO293">
        <v>172800</v>
      </c>
      <c r="AP293">
        <v>16</v>
      </c>
      <c r="AQ293">
        <v>17</v>
      </c>
      <c r="AR293">
        <v>0</v>
      </c>
      <c r="AS293">
        <v>1</v>
      </c>
      <c r="AT293">
        <v>0</v>
      </c>
      <c r="AU293">
        <v>172800</v>
      </c>
    </row>
    <row r="294" spans="1:47" x14ac:dyDescent="0.3">
      <c r="A294" s="1">
        <v>46194</v>
      </c>
      <c r="B294" t="s">
        <v>377</v>
      </c>
      <c r="C294">
        <v>1</v>
      </c>
      <c r="D294" t="s">
        <v>174</v>
      </c>
      <c r="E294" t="s">
        <v>152</v>
      </c>
      <c r="F294" t="s">
        <v>66</v>
      </c>
      <c r="G294">
        <v>23</v>
      </c>
      <c r="H294">
        <v>23</v>
      </c>
      <c r="I294">
        <v>845000</v>
      </c>
      <c r="J294">
        <v>0</v>
      </c>
      <c r="K294" t="s">
        <v>51</v>
      </c>
      <c r="L294" s="1">
        <v>46201</v>
      </c>
      <c r="M294" s="1">
        <v>46203</v>
      </c>
      <c r="N294" t="s">
        <v>106</v>
      </c>
      <c r="P294">
        <v>292</v>
      </c>
      <c r="Q294" t="s">
        <v>176</v>
      </c>
      <c r="R294" t="s">
        <v>83</v>
      </c>
      <c r="S294" t="s">
        <v>69</v>
      </c>
      <c r="T294" t="s">
        <v>56</v>
      </c>
      <c r="U294" t="s">
        <v>154</v>
      </c>
      <c r="V294" t="s">
        <v>58</v>
      </c>
      <c r="W294" t="s">
        <v>59</v>
      </c>
      <c r="X294">
        <v>650000</v>
      </c>
      <c r="Y294">
        <v>845000</v>
      </c>
      <c r="Z294" t="s">
        <v>56</v>
      </c>
      <c r="AA294" t="s">
        <v>73</v>
      </c>
      <c r="AB294" t="s">
        <v>74</v>
      </c>
      <c r="AC294" t="s">
        <v>75</v>
      </c>
      <c r="AD294" t="s">
        <v>118</v>
      </c>
      <c r="AE294">
        <v>19435000</v>
      </c>
      <c r="AF294">
        <v>14950000</v>
      </c>
      <c r="AG294">
        <v>4485000</v>
      </c>
      <c r="AH294" t="b">
        <v>1</v>
      </c>
      <c r="AI294" t="b">
        <v>1</v>
      </c>
      <c r="AJ294">
        <v>0</v>
      </c>
      <c r="AK294">
        <v>2</v>
      </c>
      <c r="AL294" t="b">
        <v>1</v>
      </c>
      <c r="AM294" t="b">
        <v>0</v>
      </c>
      <c r="AN294">
        <v>19435000</v>
      </c>
      <c r="AO294">
        <v>4485000</v>
      </c>
      <c r="AP294">
        <v>23</v>
      </c>
      <c r="AQ294">
        <v>23</v>
      </c>
      <c r="AR294">
        <v>0</v>
      </c>
      <c r="AS294">
        <v>1</v>
      </c>
      <c r="AT294">
        <v>0</v>
      </c>
      <c r="AU294">
        <v>4485000</v>
      </c>
    </row>
    <row r="295" spans="1:47" x14ac:dyDescent="0.3">
      <c r="A295" s="1">
        <v>46025</v>
      </c>
      <c r="B295" t="s">
        <v>507</v>
      </c>
      <c r="C295">
        <v>4</v>
      </c>
      <c r="D295" t="s">
        <v>245</v>
      </c>
      <c r="E295" t="s">
        <v>311</v>
      </c>
      <c r="F295" t="s">
        <v>114</v>
      </c>
      <c r="G295">
        <v>32</v>
      </c>
      <c r="H295">
        <v>32</v>
      </c>
      <c r="I295">
        <v>437000</v>
      </c>
      <c r="J295">
        <v>0</v>
      </c>
      <c r="K295" t="s">
        <v>51</v>
      </c>
      <c r="L295" s="1">
        <v>46032</v>
      </c>
      <c r="M295" s="1">
        <v>46032</v>
      </c>
      <c r="N295" t="s">
        <v>67</v>
      </c>
      <c r="P295">
        <v>293</v>
      </c>
      <c r="Q295" t="s">
        <v>247</v>
      </c>
      <c r="R295" t="s">
        <v>75</v>
      </c>
      <c r="S295" t="s">
        <v>123</v>
      </c>
      <c r="T295" t="s">
        <v>56</v>
      </c>
      <c r="U295" t="s">
        <v>312</v>
      </c>
      <c r="V295" t="s">
        <v>86</v>
      </c>
      <c r="W295" t="s">
        <v>87</v>
      </c>
      <c r="X295">
        <v>350000</v>
      </c>
      <c r="Y295">
        <v>437000</v>
      </c>
      <c r="Z295" t="s">
        <v>56</v>
      </c>
      <c r="AA295" t="s">
        <v>60</v>
      </c>
      <c r="AB295" t="s">
        <v>117</v>
      </c>
      <c r="AC295" t="s">
        <v>83</v>
      </c>
      <c r="AD295" t="s">
        <v>94</v>
      </c>
      <c r="AE295">
        <v>13984000</v>
      </c>
      <c r="AF295">
        <v>11200000</v>
      </c>
      <c r="AG295">
        <v>2784000</v>
      </c>
      <c r="AH295" t="b">
        <v>1</v>
      </c>
      <c r="AI295" t="b">
        <v>1</v>
      </c>
      <c r="AJ295">
        <v>1</v>
      </c>
      <c r="AK295">
        <v>0</v>
      </c>
      <c r="AL295" t="b">
        <v>1</v>
      </c>
      <c r="AM295" t="b">
        <v>0</v>
      </c>
      <c r="AN295">
        <v>13984000</v>
      </c>
      <c r="AO295">
        <v>2784000</v>
      </c>
      <c r="AP295">
        <v>32</v>
      </c>
      <c r="AQ295">
        <v>32</v>
      </c>
      <c r="AR295">
        <v>1</v>
      </c>
      <c r="AS295">
        <v>1</v>
      </c>
      <c r="AT295">
        <v>0</v>
      </c>
      <c r="AU295">
        <v>2784000</v>
      </c>
    </row>
    <row r="296" spans="1:47" x14ac:dyDescent="0.3">
      <c r="A296" s="1">
        <v>46126</v>
      </c>
      <c r="B296" t="s">
        <v>508</v>
      </c>
      <c r="C296">
        <v>1</v>
      </c>
      <c r="D296" t="s">
        <v>182</v>
      </c>
      <c r="E296" t="s">
        <v>160</v>
      </c>
      <c r="F296" t="s">
        <v>66</v>
      </c>
      <c r="G296">
        <v>6</v>
      </c>
      <c r="H296">
        <v>0</v>
      </c>
      <c r="I296">
        <v>1125000</v>
      </c>
      <c r="J296">
        <v>0.05</v>
      </c>
      <c r="K296" t="s">
        <v>127</v>
      </c>
      <c r="L296" s="1">
        <v>46129</v>
      </c>
      <c r="N296" t="s">
        <v>106</v>
      </c>
      <c r="P296">
        <v>294</v>
      </c>
      <c r="Q296" t="s">
        <v>183</v>
      </c>
      <c r="R296" t="s">
        <v>75</v>
      </c>
      <c r="S296" t="s">
        <v>69</v>
      </c>
      <c r="T296" t="s">
        <v>56</v>
      </c>
      <c r="U296" t="s">
        <v>161</v>
      </c>
      <c r="V296" t="s">
        <v>86</v>
      </c>
      <c r="W296" t="s">
        <v>87</v>
      </c>
      <c r="X296">
        <v>900000</v>
      </c>
      <c r="Y296">
        <v>1125000</v>
      </c>
      <c r="Z296" t="s">
        <v>56</v>
      </c>
      <c r="AA296" t="s">
        <v>60</v>
      </c>
      <c r="AB296" t="s">
        <v>74</v>
      </c>
      <c r="AC296" t="s">
        <v>75</v>
      </c>
      <c r="AD296" t="s">
        <v>130</v>
      </c>
      <c r="AE296">
        <v>0</v>
      </c>
      <c r="AG296">
        <v>0</v>
      </c>
      <c r="AH296" t="b">
        <v>1</v>
      </c>
      <c r="AI296" t="b">
        <v>0</v>
      </c>
      <c r="AL296" t="b">
        <v>0</v>
      </c>
      <c r="AM296" t="b">
        <v>0</v>
      </c>
      <c r="AN296">
        <v>0</v>
      </c>
      <c r="AO296">
        <v>0</v>
      </c>
      <c r="AP296">
        <v>0</v>
      </c>
      <c r="AQ296">
        <v>0</v>
      </c>
      <c r="AR296">
        <v>0</v>
      </c>
      <c r="AS296">
        <v>0</v>
      </c>
      <c r="AT296">
        <v>0</v>
      </c>
      <c r="AU296">
        <v>0</v>
      </c>
    </row>
    <row r="297" spans="1:47" x14ac:dyDescent="0.3">
      <c r="A297" s="1">
        <v>46150</v>
      </c>
      <c r="B297" t="s">
        <v>509</v>
      </c>
      <c r="C297">
        <v>1</v>
      </c>
      <c r="D297" t="s">
        <v>151</v>
      </c>
      <c r="E297" t="s">
        <v>167</v>
      </c>
      <c r="F297" t="s">
        <v>114</v>
      </c>
      <c r="G297">
        <v>1</v>
      </c>
      <c r="H297">
        <v>0</v>
      </c>
      <c r="I297">
        <v>1062000</v>
      </c>
      <c r="J297">
        <v>0.08</v>
      </c>
      <c r="K297" t="s">
        <v>98</v>
      </c>
      <c r="L297" s="1">
        <v>46157</v>
      </c>
      <c r="N297" t="s">
        <v>52</v>
      </c>
      <c r="P297">
        <v>295</v>
      </c>
      <c r="Q297" t="s">
        <v>153</v>
      </c>
      <c r="R297" t="s">
        <v>75</v>
      </c>
      <c r="S297" t="s">
        <v>69</v>
      </c>
      <c r="T297" t="s">
        <v>56</v>
      </c>
      <c r="U297" t="s">
        <v>169</v>
      </c>
      <c r="V297" t="s">
        <v>109</v>
      </c>
      <c r="W297" t="s">
        <v>110</v>
      </c>
      <c r="X297">
        <v>900000</v>
      </c>
      <c r="Y297">
        <v>1062000</v>
      </c>
      <c r="Z297" t="s">
        <v>56</v>
      </c>
      <c r="AA297" t="s">
        <v>60</v>
      </c>
      <c r="AB297" t="s">
        <v>117</v>
      </c>
      <c r="AC297" t="s">
        <v>83</v>
      </c>
      <c r="AD297" t="s">
        <v>76</v>
      </c>
      <c r="AE297">
        <v>0</v>
      </c>
      <c r="AF297">
        <v>0</v>
      </c>
      <c r="AG297">
        <v>0</v>
      </c>
      <c r="AH297" t="b">
        <v>1</v>
      </c>
      <c r="AI297" t="b">
        <v>0</v>
      </c>
      <c r="AL297" t="b">
        <v>1</v>
      </c>
      <c r="AM297" t="b">
        <v>0</v>
      </c>
      <c r="AN297">
        <v>0</v>
      </c>
      <c r="AO297">
        <v>0</v>
      </c>
      <c r="AP297">
        <v>0</v>
      </c>
      <c r="AQ297">
        <v>1</v>
      </c>
      <c r="AR297">
        <v>0</v>
      </c>
      <c r="AS297">
        <v>0</v>
      </c>
      <c r="AT297">
        <v>0</v>
      </c>
      <c r="AU297">
        <v>0</v>
      </c>
    </row>
    <row r="298" spans="1:47" x14ac:dyDescent="0.3">
      <c r="A298" s="1">
        <v>46153</v>
      </c>
      <c r="B298" t="s">
        <v>370</v>
      </c>
      <c r="C298">
        <v>2</v>
      </c>
      <c r="D298" t="s">
        <v>182</v>
      </c>
      <c r="E298" t="s">
        <v>255</v>
      </c>
      <c r="F298" t="s">
        <v>50</v>
      </c>
      <c r="G298">
        <v>4</v>
      </c>
      <c r="H298">
        <v>3</v>
      </c>
      <c r="I298">
        <v>234000</v>
      </c>
      <c r="J298">
        <v>0.02</v>
      </c>
      <c r="K298" t="s">
        <v>98</v>
      </c>
      <c r="L298" s="1">
        <v>46160</v>
      </c>
      <c r="N298" t="s">
        <v>67</v>
      </c>
      <c r="P298">
        <v>296</v>
      </c>
      <c r="Q298" t="s">
        <v>183</v>
      </c>
      <c r="R298" t="s">
        <v>75</v>
      </c>
      <c r="S298" t="s">
        <v>69</v>
      </c>
      <c r="T298" t="s">
        <v>56</v>
      </c>
      <c r="U298" t="s">
        <v>257</v>
      </c>
      <c r="V298" t="s">
        <v>58</v>
      </c>
      <c r="W298" t="s">
        <v>59</v>
      </c>
      <c r="X298">
        <v>180000</v>
      </c>
      <c r="Y298">
        <v>234000</v>
      </c>
      <c r="Z298" t="s">
        <v>56</v>
      </c>
      <c r="AA298" t="s">
        <v>60</v>
      </c>
      <c r="AB298" t="s">
        <v>61</v>
      </c>
      <c r="AC298" t="s">
        <v>54</v>
      </c>
      <c r="AD298" t="s">
        <v>76</v>
      </c>
      <c r="AE298">
        <v>687960</v>
      </c>
      <c r="AF298">
        <v>540000</v>
      </c>
      <c r="AG298">
        <v>147960</v>
      </c>
      <c r="AH298" t="b">
        <v>1</v>
      </c>
      <c r="AI298" t="b">
        <v>0</v>
      </c>
      <c r="AL298" t="b">
        <v>1</v>
      </c>
      <c r="AM298" t="b">
        <v>0</v>
      </c>
      <c r="AN298">
        <v>687960</v>
      </c>
      <c r="AO298">
        <v>147960</v>
      </c>
      <c r="AP298">
        <v>3</v>
      </c>
      <c r="AQ298">
        <v>4</v>
      </c>
      <c r="AR298">
        <v>0</v>
      </c>
      <c r="AS298">
        <v>0</v>
      </c>
      <c r="AT298">
        <v>0</v>
      </c>
      <c r="AU298">
        <v>147960</v>
      </c>
    </row>
    <row r="299" spans="1:47" x14ac:dyDescent="0.3">
      <c r="A299" s="1">
        <v>46191</v>
      </c>
      <c r="B299" t="s">
        <v>510</v>
      </c>
      <c r="C299">
        <v>4</v>
      </c>
      <c r="D299" t="s">
        <v>78</v>
      </c>
      <c r="E299" t="s">
        <v>236</v>
      </c>
      <c r="F299" t="s">
        <v>80</v>
      </c>
      <c r="G299">
        <v>1</v>
      </c>
      <c r="H299">
        <v>1</v>
      </c>
      <c r="I299">
        <v>448000</v>
      </c>
      <c r="J299">
        <v>0.08</v>
      </c>
      <c r="K299" t="s">
        <v>51</v>
      </c>
      <c r="L299" s="1">
        <v>46198</v>
      </c>
      <c r="M299" s="1">
        <v>46198</v>
      </c>
      <c r="N299" t="s">
        <v>106</v>
      </c>
      <c r="P299">
        <v>297</v>
      </c>
      <c r="Q299" t="s">
        <v>82</v>
      </c>
      <c r="R299" t="s">
        <v>83</v>
      </c>
      <c r="S299" t="s">
        <v>84</v>
      </c>
      <c r="T299" t="s">
        <v>56</v>
      </c>
      <c r="U299" t="s">
        <v>237</v>
      </c>
      <c r="V299" t="s">
        <v>138</v>
      </c>
      <c r="W299" t="s">
        <v>139</v>
      </c>
      <c r="X299">
        <v>350000</v>
      </c>
      <c r="Y299">
        <v>448000</v>
      </c>
      <c r="Z299" t="s">
        <v>134</v>
      </c>
      <c r="AA299" t="s">
        <v>73</v>
      </c>
      <c r="AB299" t="s">
        <v>88</v>
      </c>
      <c r="AC299" t="s">
        <v>83</v>
      </c>
      <c r="AD299" t="s">
        <v>118</v>
      </c>
      <c r="AE299">
        <v>412160</v>
      </c>
      <c r="AF299">
        <v>350000</v>
      </c>
      <c r="AG299">
        <v>62160</v>
      </c>
      <c r="AH299" t="b">
        <v>1</v>
      </c>
      <c r="AI299" t="b">
        <v>1</v>
      </c>
      <c r="AJ299">
        <v>1</v>
      </c>
      <c r="AK299">
        <v>0</v>
      </c>
      <c r="AL299" t="b">
        <v>1</v>
      </c>
      <c r="AM299" t="b">
        <v>0</v>
      </c>
      <c r="AN299">
        <v>412160</v>
      </c>
      <c r="AO299">
        <v>62160</v>
      </c>
      <c r="AP299">
        <v>1</v>
      </c>
      <c r="AQ299">
        <v>1</v>
      </c>
      <c r="AR299">
        <v>1</v>
      </c>
      <c r="AS299">
        <v>1</v>
      </c>
      <c r="AT299">
        <v>0</v>
      </c>
      <c r="AU299">
        <v>62160</v>
      </c>
    </row>
    <row r="300" spans="1:47" x14ac:dyDescent="0.3">
      <c r="A300" s="1">
        <v>46034</v>
      </c>
      <c r="B300" t="s">
        <v>511</v>
      </c>
      <c r="C300">
        <v>4</v>
      </c>
      <c r="D300" t="s">
        <v>277</v>
      </c>
      <c r="E300" t="s">
        <v>167</v>
      </c>
      <c r="F300" t="s">
        <v>114</v>
      </c>
      <c r="G300">
        <v>17</v>
      </c>
      <c r="H300">
        <v>17</v>
      </c>
      <c r="I300">
        <v>1062000</v>
      </c>
      <c r="J300">
        <v>0.05</v>
      </c>
      <c r="K300" t="s">
        <v>51</v>
      </c>
      <c r="L300" s="1">
        <v>46036</v>
      </c>
      <c r="M300" s="1">
        <v>46037</v>
      </c>
      <c r="N300" t="s">
        <v>81</v>
      </c>
      <c r="P300">
        <v>298</v>
      </c>
      <c r="Q300" t="s">
        <v>278</v>
      </c>
      <c r="R300" t="s">
        <v>75</v>
      </c>
      <c r="S300" t="s">
        <v>123</v>
      </c>
      <c r="T300" t="s">
        <v>218</v>
      </c>
      <c r="U300" t="s">
        <v>169</v>
      </c>
      <c r="V300" t="s">
        <v>109</v>
      </c>
      <c r="W300" t="s">
        <v>110</v>
      </c>
      <c r="X300">
        <v>900000</v>
      </c>
      <c r="Y300">
        <v>1062000</v>
      </c>
      <c r="Z300" t="s">
        <v>56</v>
      </c>
      <c r="AA300" t="s">
        <v>60</v>
      </c>
      <c r="AB300" t="s">
        <v>117</v>
      </c>
      <c r="AC300" t="s">
        <v>83</v>
      </c>
      <c r="AD300" t="s">
        <v>94</v>
      </c>
      <c r="AE300">
        <v>17151300</v>
      </c>
      <c r="AF300">
        <v>15300000</v>
      </c>
      <c r="AG300">
        <v>1851300</v>
      </c>
      <c r="AH300" t="b">
        <v>1</v>
      </c>
      <c r="AI300" t="b">
        <v>1</v>
      </c>
      <c r="AJ300">
        <v>0</v>
      </c>
      <c r="AK300">
        <v>1</v>
      </c>
      <c r="AL300" t="b">
        <v>1</v>
      </c>
      <c r="AM300" t="b">
        <v>0</v>
      </c>
      <c r="AN300">
        <v>17151300</v>
      </c>
      <c r="AO300">
        <v>1851300</v>
      </c>
      <c r="AP300">
        <v>17</v>
      </c>
      <c r="AQ300">
        <v>17</v>
      </c>
      <c r="AR300">
        <v>0</v>
      </c>
      <c r="AS300">
        <v>1</v>
      </c>
      <c r="AT300">
        <v>0</v>
      </c>
      <c r="AU300">
        <v>1851300</v>
      </c>
    </row>
    <row r="301" spans="1:47" x14ac:dyDescent="0.3">
      <c r="A301" s="1">
        <v>46109</v>
      </c>
      <c r="B301" t="s">
        <v>512</v>
      </c>
      <c r="C301">
        <v>4</v>
      </c>
      <c r="D301" t="s">
        <v>90</v>
      </c>
      <c r="E301" t="s">
        <v>230</v>
      </c>
      <c r="F301" t="s">
        <v>66</v>
      </c>
      <c r="G301">
        <v>30</v>
      </c>
      <c r="H301">
        <v>30</v>
      </c>
      <c r="I301">
        <v>2196000</v>
      </c>
      <c r="J301">
        <v>0.05</v>
      </c>
      <c r="K301" t="s">
        <v>51</v>
      </c>
      <c r="L301" s="1">
        <v>46110</v>
      </c>
      <c r="M301" s="1">
        <v>46112</v>
      </c>
      <c r="N301" t="s">
        <v>106</v>
      </c>
      <c r="P301">
        <v>299</v>
      </c>
      <c r="Q301" t="s">
        <v>92</v>
      </c>
      <c r="R301" t="s">
        <v>75</v>
      </c>
      <c r="S301" t="s">
        <v>84</v>
      </c>
      <c r="T301" t="s">
        <v>56</v>
      </c>
      <c r="U301" t="s">
        <v>232</v>
      </c>
      <c r="V301" t="s">
        <v>101</v>
      </c>
      <c r="W301" t="s">
        <v>102</v>
      </c>
      <c r="X301">
        <v>1800000</v>
      </c>
      <c r="Y301">
        <v>2196000</v>
      </c>
      <c r="Z301" t="s">
        <v>56</v>
      </c>
      <c r="AA301" t="s">
        <v>129</v>
      </c>
      <c r="AB301" t="s">
        <v>74</v>
      </c>
      <c r="AC301" t="s">
        <v>75</v>
      </c>
      <c r="AD301" t="s">
        <v>62</v>
      </c>
      <c r="AE301">
        <v>62586000</v>
      </c>
      <c r="AF301">
        <v>54000000</v>
      </c>
      <c r="AG301">
        <v>8586000</v>
      </c>
      <c r="AH301" t="b">
        <v>1</v>
      </c>
      <c r="AI301" t="b">
        <v>1</v>
      </c>
      <c r="AJ301">
        <v>0</v>
      </c>
      <c r="AK301">
        <v>2</v>
      </c>
      <c r="AL301" t="b">
        <v>1</v>
      </c>
      <c r="AM301" t="b">
        <v>0</v>
      </c>
      <c r="AN301">
        <v>62586000</v>
      </c>
      <c r="AO301">
        <v>8586000</v>
      </c>
      <c r="AP301">
        <v>30</v>
      </c>
      <c r="AQ301">
        <v>30</v>
      </c>
      <c r="AR301">
        <v>0</v>
      </c>
      <c r="AS301">
        <v>1</v>
      </c>
      <c r="AT301">
        <v>0</v>
      </c>
      <c r="AU301">
        <v>8586000</v>
      </c>
    </row>
    <row r="302" spans="1:47" x14ac:dyDescent="0.3">
      <c r="A302" s="1">
        <v>46164</v>
      </c>
      <c r="B302" t="s">
        <v>513</v>
      </c>
      <c r="C302">
        <v>4</v>
      </c>
      <c r="D302" t="s">
        <v>254</v>
      </c>
      <c r="E302" t="s">
        <v>197</v>
      </c>
      <c r="F302" t="s">
        <v>80</v>
      </c>
      <c r="G302">
        <v>9</v>
      </c>
      <c r="H302">
        <v>6</v>
      </c>
      <c r="I302">
        <v>1215000</v>
      </c>
      <c r="J302">
        <v>0.08</v>
      </c>
      <c r="K302" t="s">
        <v>51</v>
      </c>
      <c r="L302" s="1">
        <v>46167</v>
      </c>
      <c r="M302" s="1">
        <v>46169</v>
      </c>
      <c r="N302" t="s">
        <v>67</v>
      </c>
      <c r="P302">
        <v>300</v>
      </c>
      <c r="Q302" t="s">
        <v>256</v>
      </c>
      <c r="R302" t="s">
        <v>83</v>
      </c>
      <c r="S302" t="s">
        <v>69</v>
      </c>
      <c r="T302" t="s">
        <v>56</v>
      </c>
      <c r="U302" t="s">
        <v>198</v>
      </c>
      <c r="V302" t="s">
        <v>71</v>
      </c>
      <c r="W302" t="s">
        <v>72</v>
      </c>
      <c r="X302">
        <v>900000</v>
      </c>
      <c r="Y302">
        <v>1215000</v>
      </c>
      <c r="Z302" t="s">
        <v>56</v>
      </c>
      <c r="AA302" t="s">
        <v>129</v>
      </c>
      <c r="AB302" t="s">
        <v>88</v>
      </c>
      <c r="AC302" t="s">
        <v>83</v>
      </c>
      <c r="AD302" t="s">
        <v>76</v>
      </c>
      <c r="AE302">
        <v>6706800</v>
      </c>
      <c r="AF302">
        <v>5400000</v>
      </c>
      <c r="AG302">
        <v>1306800</v>
      </c>
      <c r="AH302" t="b">
        <v>1</v>
      </c>
      <c r="AI302" t="b">
        <v>1</v>
      </c>
      <c r="AJ302">
        <v>0</v>
      </c>
      <c r="AK302">
        <v>2</v>
      </c>
      <c r="AL302" t="b">
        <v>1</v>
      </c>
      <c r="AM302" t="b">
        <v>0</v>
      </c>
      <c r="AN302">
        <v>6706800</v>
      </c>
      <c r="AO302">
        <v>1306800</v>
      </c>
      <c r="AP302">
        <v>6</v>
      </c>
      <c r="AQ302">
        <v>9</v>
      </c>
      <c r="AR302">
        <v>0</v>
      </c>
      <c r="AS302">
        <v>1</v>
      </c>
      <c r="AT302">
        <v>0</v>
      </c>
      <c r="AU302">
        <v>1306800</v>
      </c>
    </row>
    <row r="303" spans="1:47" x14ac:dyDescent="0.3">
      <c r="A303" s="1">
        <v>46130</v>
      </c>
      <c r="B303" t="s">
        <v>514</v>
      </c>
      <c r="C303">
        <v>3</v>
      </c>
      <c r="D303" t="s">
        <v>151</v>
      </c>
      <c r="E303" t="s">
        <v>255</v>
      </c>
      <c r="F303" t="s">
        <v>50</v>
      </c>
      <c r="G303">
        <v>29</v>
      </c>
      <c r="H303">
        <v>4</v>
      </c>
      <c r="I303">
        <v>234000</v>
      </c>
      <c r="J303">
        <v>0.05</v>
      </c>
      <c r="K303" t="s">
        <v>98</v>
      </c>
      <c r="L303" s="1">
        <v>46137</v>
      </c>
      <c r="N303" t="s">
        <v>52</v>
      </c>
      <c r="P303">
        <v>301</v>
      </c>
      <c r="Q303" t="s">
        <v>153</v>
      </c>
      <c r="R303" t="s">
        <v>75</v>
      </c>
      <c r="S303" t="s">
        <v>69</v>
      </c>
      <c r="T303" t="s">
        <v>56</v>
      </c>
      <c r="U303" t="s">
        <v>257</v>
      </c>
      <c r="V303" t="s">
        <v>58</v>
      </c>
      <c r="W303" t="s">
        <v>59</v>
      </c>
      <c r="X303">
        <v>180000</v>
      </c>
      <c r="Y303">
        <v>234000</v>
      </c>
      <c r="Z303" t="s">
        <v>56</v>
      </c>
      <c r="AA303" t="s">
        <v>60</v>
      </c>
      <c r="AB303" t="s">
        <v>61</v>
      </c>
      <c r="AC303" t="s">
        <v>54</v>
      </c>
      <c r="AD303" t="s">
        <v>130</v>
      </c>
      <c r="AE303">
        <v>889200</v>
      </c>
      <c r="AF303">
        <v>720000</v>
      </c>
      <c r="AG303">
        <v>169200</v>
      </c>
      <c r="AH303" t="b">
        <v>1</v>
      </c>
      <c r="AI303" t="b">
        <v>0</v>
      </c>
      <c r="AL303" t="b">
        <v>1</v>
      </c>
      <c r="AM303" t="b">
        <v>0</v>
      </c>
      <c r="AN303">
        <v>889200</v>
      </c>
      <c r="AO303">
        <v>169200</v>
      </c>
      <c r="AP303">
        <v>4</v>
      </c>
      <c r="AQ303">
        <v>29</v>
      </c>
      <c r="AR303">
        <v>0</v>
      </c>
      <c r="AS303">
        <v>0</v>
      </c>
      <c r="AT303">
        <v>0</v>
      </c>
      <c r="AU303">
        <v>169200</v>
      </c>
    </row>
    <row r="304" spans="1:47" x14ac:dyDescent="0.3">
      <c r="A304" s="1">
        <v>46202</v>
      </c>
      <c r="B304" t="s">
        <v>515</v>
      </c>
      <c r="C304">
        <v>3</v>
      </c>
      <c r="D304" t="s">
        <v>48</v>
      </c>
      <c r="E304" t="s">
        <v>315</v>
      </c>
      <c r="F304" t="s">
        <v>80</v>
      </c>
      <c r="G304">
        <v>14</v>
      </c>
      <c r="H304">
        <v>12</v>
      </c>
      <c r="I304">
        <v>2196000</v>
      </c>
      <c r="J304">
        <v>0.02</v>
      </c>
      <c r="K304" t="s">
        <v>51</v>
      </c>
      <c r="L304" s="1">
        <v>46212</v>
      </c>
      <c r="M304" s="1">
        <v>46212</v>
      </c>
      <c r="N304" t="s">
        <v>81</v>
      </c>
      <c r="P304">
        <v>302</v>
      </c>
      <c r="Q304" t="s">
        <v>53</v>
      </c>
      <c r="R304" t="s">
        <v>54</v>
      </c>
      <c r="S304" t="s">
        <v>55</v>
      </c>
      <c r="T304" t="s">
        <v>56</v>
      </c>
      <c r="U304" t="s">
        <v>316</v>
      </c>
      <c r="V304" t="s">
        <v>101</v>
      </c>
      <c r="W304" t="s">
        <v>102</v>
      </c>
      <c r="X304">
        <v>1800000</v>
      </c>
      <c r="Y304">
        <v>2196000</v>
      </c>
      <c r="Z304" t="s">
        <v>56</v>
      </c>
      <c r="AA304" t="s">
        <v>60</v>
      </c>
      <c r="AB304" t="s">
        <v>88</v>
      </c>
      <c r="AC304" t="s">
        <v>83</v>
      </c>
      <c r="AD304" t="s">
        <v>118</v>
      </c>
      <c r="AE304">
        <v>25824960</v>
      </c>
      <c r="AF304">
        <v>21600000</v>
      </c>
      <c r="AG304">
        <v>4224960</v>
      </c>
      <c r="AH304" t="b">
        <v>1</v>
      </c>
      <c r="AI304" t="b">
        <v>1</v>
      </c>
      <c r="AJ304">
        <v>1</v>
      </c>
      <c r="AK304">
        <v>0</v>
      </c>
      <c r="AL304" t="b">
        <v>1</v>
      </c>
      <c r="AM304" t="b">
        <v>0</v>
      </c>
      <c r="AN304">
        <v>25824960</v>
      </c>
      <c r="AO304">
        <v>4224960</v>
      </c>
      <c r="AP304">
        <v>12</v>
      </c>
      <c r="AQ304">
        <v>14</v>
      </c>
      <c r="AR304">
        <v>1</v>
      </c>
      <c r="AS304">
        <v>1</v>
      </c>
      <c r="AT304">
        <v>0</v>
      </c>
      <c r="AU304">
        <v>4224960</v>
      </c>
    </row>
    <row r="305" spans="1:47" x14ac:dyDescent="0.3">
      <c r="A305" s="1">
        <v>46151</v>
      </c>
      <c r="B305" t="s">
        <v>516</v>
      </c>
      <c r="C305">
        <v>3</v>
      </c>
      <c r="D305" t="s">
        <v>78</v>
      </c>
      <c r="E305" t="s">
        <v>91</v>
      </c>
      <c r="F305" t="s">
        <v>66</v>
      </c>
      <c r="G305">
        <v>27</v>
      </c>
      <c r="H305">
        <v>27</v>
      </c>
      <c r="I305">
        <v>2250000</v>
      </c>
      <c r="J305">
        <v>0.05</v>
      </c>
      <c r="K305" t="s">
        <v>51</v>
      </c>
      <c r="L305" s="1">
        <v>46152</v>
      </c>
      <c r="M305" s="1">
        <v>46154</v>
      </c>
      <c r="N305" t="s">
        <v>106</v>
      </c>
      <c r="P305">
        <v>303</v>
      </c>
      <c r="Q305" t="s">
        <v>82</v>
      </c>
      <c r="R305" t="s">
        <v>83</v>
      </c>
      <c r="S305" t="s">
        <v>84</v>
      </c>
      <c r="T305" t="s">
        <v>56</v>
      </c>
      <c r="U305" t="s">
        <v>93</v>
      </c>
      <c r="V305" t="s">
        <v>86</v>
      </c>
      <c r="W305" t="s">
        <v>87</v>
      </c>
      <c r="X305">
        <v>1800000</v>
      </c>
      <c r="Y305">
        <v>2250000</v>
      </c>
      <c r="Z305" t="s">
        <v>56</v>
      </c>
      <c r="AA305" t="s">
        <v>60</v>
      </c>
      <c r="AB305" t="s">
        <v>74</v>
      </c>
      <c r="AC305" t="s">
        <v>75</v>
      </c>
      <c r="AD305" t="s">
        <v>76</v>
      </c>
      <c r="AE305">
        <v>57712500</v>
      </c>
      <c r="AF305">
        <v>48600000</v>
      </c>
      <c r="AG305">
        <v>9112500</v>
      </c>
      <c r="AH305" t="b">
        <v>1</v>
      </c>
      <c r="AI305" t="b">
        <v>1</v>
      </c>
      <c r="AJ305">
        <v>0</v>
      </c>
      <c r="AK305">
        <v>2</v>
      </c>
      <c r="AL305" t="b">
        <v>1</v>
      </c>
      <c r="AM305" t="b">
        <v>0</v>
      </c>
      <c r="AN305">
        <v>57712500</v>
      </c>
      <c r="AO305">
        <v>9112500</v>
      </c>
      <c r="AP305">
        <v>27</v>
      </c>
      <c r="AQ305">
        <v>27</v>
      </c>
      <c r="AR305">
        <v>0</v>
      </c>
      <c r="AS305">
        <v>1</v>
      </c>
      <c r="AT305">
        <v>0</v>
      </c>
      <c r="AU305">
        <v>9112500</v>
      </c>
    </row>
    <row r="306" spans="1:47" x14ac:dyDescent="0.3">
      <c r="A306" s="1">
        <v>46029</v>
      </c>
      <c r="B306" t="s">
        <v>517</v>
      </c>
      <c r="C306">
        <v>2</v>
      </c>
      <c r="D306" t="s">
        <v>64</v>
      </c>
      <c r="E306" t="s">
        <v>220</v>
      </c>
      <c r="F306" t="s">
        <v>80</v>
      </c>
      <c r="G306">
        <v>18</v>
      </c>
      <c r="H306">
        <v>5</v>
      </c>
      <c r="I306">
        <v>234000</v>
      </c>
      <c r="J306">
        <v>0.02</v>
      </c>
      <c r="K306" t="s">
        <v>98</v>
      </c>
      <c r="L306" s="1">
        <v>46039</v>
      </c>
      <c r="N306" t="s">
        <v>52</v>
      </c>
      <c r="P306">
        <v>304</v>
      </c>
      <c r="Q306" t="s">
        <v>68</v>
      </c>
      <c r="R306" t="s">
        <v>54</v>
      </c>
      <c r="S306" t="s">
        <v>69</v>
      </c>
      <c r="T306" t="s">
        <v>56</v>
      </c>
      <c r="U306" t="s">
        <v>221</v>
      </c>
      <c r="V306" t="s">
        <v>58</v>
      </c>
      <c r="W306" t="s">
        <v>59</v>
      </c>
      <c r="X306">
        <v>180000</v>
      </c>
      <c r="Y306">
        <v>234000</v>
      </c>
      <c r="Z306" t="s">
        <v>56</v>
      </c>
      <c r="AA306" t="s">
        <v>60</v>
      </c>
      <c r="AB306" t="s">
        <v>88</v>
      </c>
      <c r="AC306" t="s">
        <v>83</v>
      </c>
      <c r="AD306" t="s">
        <v>94</v>
      </c>
      <c r="AE306">
        <v>1146600</v>
      </c>
      <c r="AF306">
        <v>900000</v>
      </c>
      <c r="AG306">
        <v>246600</v>
      </c>
      <c r="AH306" t="b">
        <v>1</v>
      </c>
      <c r="AI306" t="b">
        <v>0</v>
      </c>
      <c r="AL306" t="b">
        <v>1</v>
      </c>
      <c r="AM306" t="b">
        <v>0</v>
      </c>
      <c r="AN306">
        <v>1146600</v>
      </c>
      <c r="AO306">
        <v>246600</v>
      </c>
      <c r="AP306">
        <v>5</v>
      </c>
      <c r="AQ306">
        <v>18</v>
      </c>
      <c r="AR306">
        <v>0</v>
      </c>
      <c r="AS306">
        <v>0</v>
      </c>
      <c r="AT306">
        <v>0</v>
      </c>
      <c r="AU306">
        <v>246600</v>
      </c>
    </row>
    <row r="307" spans="1:47" x14ac:dyDescent="0.3">
      <c r="A307" s="1">
        <v>46060</v>
      </c>
      <c r="B307" t="s">
        <v>518</v>
      </c>
      <c r="C307">
        <v>3</v>
      </c>
      <c r="D307" t="s">
        <v>141</v>
      </c>
      <c r="E307" t="s">
        <v>189</v>
      </c>
      <c r="F307" t="s">
        <v>114</v>
      </c>
      <c r="G307">
        <v>23</v>
      </c>
      <c r="H307">
        <v>3</v>
      </c>
      <c r="I307">
        <v>312000</v>
      </c>
      <c r="J307">
        <v>0.08</v>
      </c>
      <c r="K307" t="s">
        <v>98</v>
      </c>
      <c r="L307" s="1">
        <v>46070</v>
      </c>
      <c r="N307" t="s">
        <v>81</v>
      </c>
      <c r="P307">
        <v>305</v>
      </c>
      <c r="Q307" t="s">
        <v>143</v>
      </c>
      <c r="R307" t="s">
        <v>75</v>
      </c>
      <c r="S307" t="s">
        <v>55</v>
      </c>
      <c r="T307" t="s">
        <v>56</v>
      </c>
      <c r="U307" t="s">
        <v>191</v>
      </c>
      <c r="V307" t="s">
        <v>86</v>
      </c>
      <c r="W307" t="s">
        <v>87</v>
      </c>
      <c r="X307">
        <v>250000</v>
      </c>
      <c r="Y307">
        <v>312000</v>
      </c>
      <c r="Z307" t="s">
        <v>134</v>
      </c>
      <c r="AA307" t="s">
        <v>73</v>
      </c>
      <c r="AB307" t="s">
        <v>117</v>
      </c>
      <c r="AC307" t="s">
        <v>83</v>
      </c>
      <c r="AD307" t="s">
        <v>158</v>
      </c>
      <c r="AE307">
        <v>861120</v>
      </c>
      <c r="AF307">
        <v>750000</v>
      </c>
      <c r="AG307">
        <v>111120</v>
      </c>
      <c r="AH307" t="b">
        <v>1</v>
      </c>
      <c r="AI307" t="b">
        <v>0</v>
      </c>
      <c r="AL307" t="b">
        <v>1</v>
      </c>
      <c r="AM307" t="b">
        <v>0</v>
      </c>
      <c r="AN307">
        <v>861120</v>
      </c>
      <c r="AO307">
        <v>111120</v>
      </c>
      <c r="AP307">
        <v>3</v>
      </c>
      <c r="AQ307">
        <v>23</v>
      </c>
      <c r="AR307">
        <v>0</v>
      </c>
      <c r="AS307">
        <v>0</v>
      </c>
      <c r="AT307">
        <v>0</v>
      </c>
      <c r="AU307">
        <v>111120</v>
      </c>
    </row>
    <row r="308" spans="1:47" x14ac:dyDescent="0.3">
      <c r="A308" s="1">
        <v>46188</v>
      </c>
      <c r="B308" t="s">
        <v>519</v>
      </c>
      <c r="C308">
        <v>4</v>
      </c>
      <c r="D308" t="s">
        <v>326</v>
      </c>
      <c r="E308" t="s">
        <v>142</v>
      </c>
      <c r="F308" t="s">
        <v>50</v>
      </c>
      <c r="G308">
        <v>4</v>
      </c>
      <c r="H308">
        <v>0</v>
      </c>
      <c r="I308">
        <v>413000</v>
      </c>
      <c r="J308">
        <v>0.05</v>
      </c>
      <c r="K308" t="s">
        <v>127</v>
      </c>
      <c r="L308" s="1">
        <v>46193</v>
      </c>
      <c r="N308" t="s">
        <v>52</v>
      </c>
      <c r="P308">
        <v>306</v>
      </c>
      <c r="Q308" t="s">
        <v>327</v>
      </c>
      <c r="R308" t="s">
        <v>54</v>
      </c>
      <c r="S308" t="s">
        <v>69</v>
      </c>
      <c r="T308" t="s">
        <v>56</v>
      </c>
      <c r="U308" t="s">
        <v>144</v>
      </c>
      <c r="V308" t="s">
        <v>109</v>
      </c>
      <c r="W308" t="s">
        <v>110</v>
      </c>
      <c r="X308">
        <v>350000</v>
      </c>
      <c r="Y308">
        <v>413000</v>
      </c>
      <c r="Z308" t="s">
        <v>56</v>
      </c>
      <c r="AA308" t="s">
        <v>129</v>
      </c>
      <c r="AB308" t="s">
        <v>61</v>
      </c>
      <c r="AC308" t="s">
        <v>54</v>
      </c>
      <c r="AD308" t="s">
        <v>118</v>
      </c>
      <c r="AE308">
        <v>0</v>
      </c>
      <c r="AG308">
        <v>0</v>
      </c>
      <c r="AH308" t="b">
        <v>1</v>
      </c>
      <c r="AI308" t="b">
        <v>0</v>
      </c>
      <c r="AL308" t="b">
        <v>0</v>
      </c>
      <c r="AM308" t="b">
        <v>0</v>
      </c>
      <c r="AN308">
        <v>0</v>
      </c>
      <c r="AO308">
        <v>0</v>
      </c>
      <c r="AP308">
        <v>0</v>
      </c>
      <c r="AQ308">
        <v>0</v>
      </c>
      <c r="AR308">
        <v>0</v>
      </c>
      <c r="AS308">
        <v>0</v>
      </c>
      <c r="AT308">
        <v>0</v>
      </c>
      <c r="AU308">
        <v>0</v>
      </c>
    </row>
    <row r="309" spans="1:47" x14ac:dyDescent="0.3">
      <c r="A309" s="1">
        <v>46164</v>
      </c>
      <c r="B309" t="s">
        <v>520</v>
      </c>
      <c r="C309">
        <v>1</v>
      </c>
      <c r="D309" t="s">
        <v>239</v>
      </c>
      <c r="E309" t="s">
        <v>147</v>
      </c>
      <c r="F309" t="s">
        <v>66</v>
      </c>
      <c r="G309">
        <v>15</v>
      </c>
      <c r="H309">
        <v>0</v>
      </c>
      <c r="I309">
        <v>614000</v>
      </c>
      <c r="J309">
        <v>0.1</v>
      </c>
      <c r="K309" t="s">
        <v>127</v>
      </c>
      <c r="L309" s="1">
        <v>46174</v>
      </c>
      <c r="N309" t="s">
        <v>52</v>
      </c>
      <c r="P309">
        <v>307</v>
      </c>
      <c r="Q309" t="s">
        <v>240</v>
      </c>
      <c r="R309" t="s">
        <v>75</v>
      </c>
      <c r="S309" t="s">
        <v>55</v>
      </c>
      <c r="T309" t="s">
        <v>56</v>
      </c>
      <c r="U309" t="s">
        <v>149</v>
      </c>
      <c r="V309" t="s">
        <v>138</v>
      </c>
      <c r="W309" t="s">
        <v>139</v>
      </c>
      <c r="X309">
        <v>480000</v>
      </c>
      <c r="Y309">
        <v>614000</v>
      </c>
      <c r="Z309" t="s">
        <v>56</v>
      </c>
      <c r="AA309" t="s">
        <v>129</v>
      </c>
      <c r="AB309" t="s">
        <v>74</v>
      </c>
      <c r="AC309" t="s">
        <v>75</v>
      </c>
      <c r="AD309" t="s">
        <v>76</v>
      </c>
      <c r="AE309">
        <v>0</v>
      </c>
      <c r="AG309">
        <v>0</v>
      </c>
      <c r="AH309" t="b">
        <v>1</v>
      </c>
      <c r="AI309" t="b">
        <v>0</v>
      </c>
      <c r="AL309" t="b">
        <v>0</v>
      </c>
      <c r="AM309" t="b">
        <v>0</v>
      </c>
      <c r="AN309">
        <v>0</v>
      </c>
      <c r="AO309">
        <v>0</v>
      </c>
      <c r="AP309">
        <v>0</v>
      </c>
      <c r="AQ309">
        <v>0</v>
      </c>
      <c r="AR309">
        <v>0</v>
      </c>
      <c r="AS309">
        <v>0</v>
      </c>
      <c r="AT309">
        <v>0</v>
      </c>
      <c r="AU309">
        <v>0</v>
      </c>
    </row>
    <row r="310" spans="1:47" x14ac:dyDescent="0.3">
      <c r="A310" s="1">
        <v>46173</v>
      </c>
      <c r="B310" t="s">
        <v>521</v>
      </c>
      <c r="C310">
        <v>2</v>
      </c>
      <c r="D310" t="s">
        <v>288</v>
      </c>
      <c r="E310" t="s">
        <v>246</v>
      </c>
      <c r="F310" t="s">
        <v>66</v>
      </c>
      <c r="G310">
        <v>-2</v>
      </c>
      <c r="H310">
        <v>-2</v>
      </c>
      <c r="I310">
        <v>1152000</v>
      </c>
      <c r="J310">
        <v>0</v>
      </c>
      <c r="K310" t="s">
        <v>216</v>
      </c>
      <c r="L310" s="1">
        <v>46175</v>
      </c>
      <c r="M310" s="1">
        <v>46178</v>
      </c>
      <c r="N310" t="s">
        <v>106</v>
      </c>
      <c r="P310">
        <v>308</v>
      </c>
      <c r="Q310" t="s">
        <v>289</v>
      </c>
      <c r="R310" t="s">
        <v>83</v>
      </c>
      <c r="S310" t="s">
        <v>69</v>
      </c>
      <c r="T310" t="s">
        <v>56</v>
      </c>
      <c r="U310" t="s">
        <v>248</v>
      </c>
      <c r="V310" t="s">
        <v>138</v>
      </c>
      <c r="W310" t="s">
        <v>139</v>
      </c>
      <c r="X310">
        <v>900000</v>
      </c>
      <c r="Y310">
        <v>1152000</v>
      </c>
      <c r="Z310" t="s">
        <v>56</v>
      </c>
      <c r="AA310" t="s">
        <v>73</v>
      </c>
      <c r="AB310" t="s">
        <v>74</v>
      </c>
      <c r="AC310" t="s">
        <v>75</v>
      </c>
      <c r="AD310" t="s">
        <v>76</v>
      </c>
      <c r="AE310">
        <v>-2304000</v>
      </c>
      <c r="AF310">
        <v>-1800000</v>
      </c>
      <c r="AG310">
        <v>-504000</v>
      </c>
      <c r="AH310" t="b">
        <v>1</v>
      </c>
      <c r="AI310" t="b">
        <v>1</v>
      </c>
      <c r="AJ310">
        <v>0</v>
      </c>
      <c r="AK310">
        <v>3</v>
      </c>
      <c r="AL310" t="b">
        <v>0</v>
      </c>
      <c r="AM310" t="b">
        <v>1</v>
      </c>
      <c r="AN310">
        <v>-2304000</v>
      </c>
      <c r="AO310">
        <v>-504000</v>
      </c>
      <c r="AP310">
        <v>0</v>
      </c>
      <c r="AQ310">
        <v>0</v>
      </c>
      <c r="AR310">
        <v>0</v>
      </c>
      <c r="AS310">
        <v>1</v>
      </c>
      <c r="AT310">
        <v>-2304000</v>
      </c>
      <c r="AU310">
        <v>-504000</v>
      </c>
    </row>
    <row r="311" spans="1:47" x14ac:dyDescent="0.3">
      <c r="A311" s="1">
        <v>46119</v>
      </c>
      <c r="B311" t="s">
        <v>522</v>
      </c>
      <c r="C311">
        <v>4</v>
      </c>
      <c r="D311" t="s">
        <v>209</v>
      </c>
      <c r="E311" t="s">
        <v>156</v>
      </c>
      <c r="F311" t="s">
        <v>50</v>
      </c>
      <c r="G311">
        <v>9</v>
      </c>
      <c r="H311">
        <v>9</v>
      </c>
      <c r="I311">
        <v>243000</v>
      </c>
      <c r="J311">
        <v>0.02</v>
      </c>
      <c r="K311" t="s">
        <v>51</v>
      </c>
      <c r="L311" s="1">
        <v>46124</v>
      </c>
      <c r="M311" s="1">
        <v>46127</v>
      </c>
      <c r="N311" t="s">
        <v>81</v>
      </c>
      <c r="P311">
        <v>309</v>
      </c>
      <c r="Q311" t="s">
        <v>211</v>
      </c>
      <c r="R311" t="s">
        <v>54</v>
      </c>
      <c r="S311" t="s">
        <v>84</v>
      </c>
      <c r="T311" t="s">
        <v>56</v>
      </c>
      <c r="U311" t="s">
        <v>157</v>
      </c>
      <c r="V311" t="s">
        <v>71</v>
      </c>
      <c r="W311" t="s">
        <v>72</v>
      </c>
      <c r="X311">
        <v>180000</v>
      </c>
      <c r="Y311">
        <v>243000</v>
      </c>
      <c r="Z311" t="s">
        <v>56</v>
      </c>
      <c r="AA311" t="s">
        <v>73</v>
      </c>
      <c r="AB311" t="s">
        <v>61</v>
      </c>
      <c r="AC311" t="s">
        <v>54</v>
      </c>
      <c r="AD311" t="s">
        <v>130</v>
      </c>
      <c r="AE311">
        <v>2143260</v>
      </c>
      <c r="AF311">
        <v>1620000</v>
      </c>
      <c r="AG311">
        <v>523260</v>
      </c>
      <c r="AH311" t="b">
        <v>1</v>
      </c>
      <c r="AI311" t="b">
        <v>1</v>
      </c>
      <c r="AJ311">
        <v>0</v>
      </c>
      <c r="AK311">
        <v>3</v>
      </c>
      <c r="AL311" t="b">
        <v>1</v>
      </c>
      <c r="AM311" t="b">
        <v>0</v>
      </c>
      <c r="AN311">
        <v>2143260</v>
      </c>
      <c r="AO311">
        <v>523260</v>
      </c>
      <c r="AP311">
        <v>9</v>
      </c>
      <c r="AQ311">
        <v>9</v>
      </c>
      <c r="AR311">
        <v>0</v>
      </c>
      <c r="AS311">
        <v>1</v>
      </c>
      <c r="AT311">
        <v>0</v>
      </c>
      <c r="AU311">
        <v>523260</v>
      </c>
    </row>
    <row r="312" spans="1:47" x14ac:dyDescent="0.3">
      <c r="A312" s="1">
        <v>46033</v>
      </c>
      <c r="B312" t="s">
        <v>523</v>
      </c>
      <c r="C312">
        <v>3</v>
      </c>
      <c r="D312" t="s">
        <v>307</v>
      </c>
      <c r="E312" t="s">
        <v>220</v>
      </c>
      <c r="F312" t="s">
        <v>50</v>
      </c>
      <c r="G312">
        <v>32</v>
      </c>
      <c r="H312">
        <v>22</v>
      </c>
      <c r="I312">
        <v>234000</v>
      </c>
      <c r="J312">
        <v>0</v>
      </c>
      <c r="K312" t="s">
        <v>98</v>
      </c>
      <c r="L312" s="1">
        <v>46043</v>
      </c>
      <c r="N312" t="s">
        <v>52</v>
      </c>
      <c r="P312">
        <v>310</v>
      </c>
      <c r="Q312" t="s">
        <v>308</v>
      </c>
      <c r="R312" t="s">
        <v>75</v>
      </c>
      <c r="S312" t="s">
        <v>123</v>
      </c>
      <c r="T312" t="s">
        <v>56</v>
      </c>
      <c r="U312" t="s">
        <v>221</v>
      </c>
      <c r="V312" t="s">
        <v>58</v>
      </c>
      <c r="W312" t="s">
        <v>59</v>
      </c>
      <c r="X312">
        <v>180000</v>
      </c>
      <c r="Y312">
        <v>234000</v>
      </c>
      <c r="Z312" t="s">
        <v>56</v>
      </c>
      <c r="AA312" t="s">
        <v>60</v>
      </c>
      <c r="AB312" t="s">
        <v>61</v>
      </c>
      <c r="AC312" t="s">
        <v>54</v>
      </c>
      <c r="AD312" t="s">
        <v>94</v>
      </c>
      <c r="AE312">
        <v>5148000</v>
      </c>
      <c r="AF312">
        <v>3960000</v>
      </c>
      <c r="AG312">
        <v>1188000</v>
      </c>
      <c r="AH312" t="b">
        <v>1</v>
      </c>
      <c r="AI312" t="b">
        <v>0</v>
      </c>
      <c r="AL312" t="b">
        <v>1</v>
      </c>
      <c r="AM312" t="b">
        <v>0</v>
      </c>
      <c r="AN312">
        <v>5148000</v>
      </c>
      <c r="AO312">
        <v>1188000</v>
      </c>
      <c r="AP312">
        <v>22</v>
      </c>
      <c r="AQ312">
        <v>32</v>
      </c>
      <c r="AR312">
        <v>0</v>
      </c>
      <c r="AS312">
        <v>0</v>
      </c>
      <c r="AT312">
        <v>0</v>
      </c>
      <c r="AU312">
        <v>1188000</v>
      </c>
    </row>
    <row r="313" spans="1:47" x14ac:dyDescent="0.3">
      <c r="A313" s="1">
        <v>46157</v>
      </c>
      <c r="B313" t="s">
        <v>173</v>
      </c>
      <c r="C313">
        <v>2</v>
      </c>
      <c r="D313" t="s">
        <v>223</v>
      </c>
      <c r="E313" t="s">
        <v>79</v>
      </c>
      <c r="F313" t="s">
        <v>80</v>
      </c>
      <c r="G313">
        <v>27</v>
      </c>
      <c r="H313">
        <v>27</v>
      </c>
      <c r="I313">
        <v>150000</v>
      </c>
      <c r="J313">
        <v>0.02</v>
      </c>
      <c r="K313" t="s">
        <v>51</v>
      </c>
      <c r="L313" s="1">
        <v>46159</v>
      </c>
      <c r="M313" s="1">
        <v>46159</v>
      </c>
      <c r="N313" t="s">
        <v>52</v>
      </c>
      <c r="P313">
        <v>311</v>
      </c>
      <c r="Q313" t="s">
        <v>224</v>
      </c>
      <c r="R313" t="s">
        <v>83</v>
      </c>
      <c r="S313" t="s">
        <v>55</v>
      </c>
      <c r="T313" t="s">
        <v>56</v>
      </c>
      <c r="U313" t="s">
        <v>85</v>
      </c>
      <c r="V313" t="s">
        <v>86</v>
      </c>
      <c r="W313" t="s">
        <v>87</v>
      </c>
      <c r="X313">
        <v>120000</v>
      </c>
      <c r="Y313">
        <v>150000</v>
      </c>
      <c r="Z313" t="s">
        <v>56</v>
      </c>
      <c r="AA313" t="s">
        <v>60</v>
      </c>
      <c r="AB313" t="s">
        <v>88</v>
      </c>
      <c r="AC313" t="s">
        <v>83</v>
      </c>
      <c r="AD313" t="s">
        <v>76</v>
      </c>
      <c r="AE313">
        <v>3969000</v>
      </c>
      <c r="AF313">
        <v>3240000</v>
      </c>
      <c r="AG313">
        <v>729000</v>
      </c>
      <c r="AH313" t="b">
        <v>1</v>
      </c>
      <c r="AI313" t="b">
        <v>1</v>
      </c>
      <c r="AJ313">
        <v>1</v>
      </c>
      <c r="AK313">
        <v>0</v>
      </c>
      <c r="AL313" t="b">
        <v>1</v>
      </c>
      <c r="AM313" t="b">
        <v>0</v>
      </c>
      <c r="AN313">
        <v>3969000</v>
      </c>
      <c r="AO313">
        <v>729000</v>
      </c>
      <c r="AP313">
        <v>27</v>
      </c>
      <c r="AQ313">
        <v>27</v>
      </c>
      <c r="AR313">
        <v>1</v>
      </c>
      <c r="AS313">
        <v>1</v>
      </c>
      <c r="AT313">
        <v>0</v>
      </c>
      <c r="AU313">
        <v>729000</v>
      </c>
    </row>
    <row r="314" spans="1:47" x14ac:dyDescent="0.3">
      <c r="A314" s="1">
        <v>46107</v>
      </c>
      <c r="B314" t="s">
        <v>394</v>
      </c>
      <c r="C314">
        <v>3</v>
      </c>
      <c r="D314" t="s">
        <v>141</v>
      </c>
      <c r="E314" t="s">
        <v>210</v>
      </c>
      <c r="F314" t="s">
        <v>66</v>
      </c>
      <c r="G314">
        <v>1</v>
      </c>
      <c r="H314">
        <v>1</v>
      </c>
      <c r="I314">
        <v>234000</v>
      </c>
      <c r="J314">
        <v>0</v>
      </c>
      <c r="K314" t="s">
        <v>51</v>
      </c>
      <c r="L314" s="1">
        <v>46117</v>
      </c>
      <c r="M314" s="1">
        <v>46119</v>
      </c>
      <c r="N314" t="s">
        <v>81</v>
      </c>
      <c r="P314">
        <v>312</v>
      </c>
      <c r="Q314" t="s">
        <v>143</v>
      </c>
      <c r="R314" t="s">
        <v>75</v>
      </c>
      <c r="S314" t="s">
        <v>55</v>
      </c>
      <c r="T314" t="s">
        <v>56</v>
      </c>
      <c r="U314" t="s">
        <v>212</v>
      </c>
      <c r="V314" t="s">
        <v>58</v>
      </c>
      <c r="W314" t="s">
        <v>59</v>
      </c>
      <c r="X314">
        <v>180000</v>
      </c>
      <c r="Y314">
        <v>234000</v>
      </c>
      <c r="Z314" t="s">
        <v>56</v>
      </c>
      <c r="AA314" t="s">
        <v>60</v>
      </c>
      <c r="AB314" t="s">
        <v>74</v>
      </c>
      <c r="AC314" t="s">
        <v>75</v>
      </c>
      <c r="AD314" t="s">
        <v>62</v>
      </c>
      <c r="AE314">
        <v>234000</v>
      </c>
      <c r="AF314">
        <v>180000</v>
      </c>
      <c r="AG314">
        <v>54000</v>
      </c>
      <c r="AH314" t="b">
        <v>1</v>
      </c>
      <c r="AI314" t="b">
        <v>1</v>
      </c>
      <c r="AJ314">
        <v>0</v>
      </c>
      <c r="AK314">
        <v>2</v>
      </c>
      <c r="AL314" t="b">
        <v>1</v>
      </c>
      <c r="AM314" t="b">
        <v>0</v>
      </c>
      <c r="AN314">
        <v>234000</v>
      </c>
      <c r="AO314">
        <v>54000</v>
      </c>
      <c r="AP314">
        <v>1</v>
      </c>
      <c r="AQ314">
        <v>1</v>
      </c>
      <c r="AR314">
        <v>0</v>
      </c>
      <c r="AS314">
        <v>1</v>
      </c>
      <c r="AT314">
        <v>0</v>
      </c>
      <c r="AU314">
        <v>54000</v>
      </c>
    </row>
    <row r="315" spans="1:47" x14ac:dyDescent="0.3">
      <c r="A315" s="1">
        <v>46033</v>
      </c>
      <c r="B315" t="s">
        <v>524</v>
      </c>
      <c r="C315">
        <v>4</v>
      </c>
      <c r="D315" t="s">
        <v>78</v>
      </c>
      <c r="E315" t="s">
        <v>136</v>
      </c>
      <c r="F315" t="s">
        <v>50</v>
      </c>
      <c r="G315">
        <v>35</v>
      </c>
      <c r="H315">
        <v>1</v>
      </c>
      <c r="I315">
        <v>2304000</v>
      </c>
      <c r="J315">
        <v>0.08</v>
      </c>
      <c r="K315" t="s">
        <v>98</v>
      </c>
      <c r="L315" s="1">
        <v>46036</v>
      </c>
      <c r="N315" t="s">
        <v>67</v>
      </c>
      <c r="P315">
        <v>313</v>
      </c>
      <c r="Q315" t="s">
        <v>82</v>
      </c>
      <c r="R315" t="s">
        <v>83</v>
      </c>
      <c r="S315" t="s">
        <v>84</v>
      </c>
      <c r="T315" t="s">
        <v>56</v>
      </c>
      <c r="U315" t="s">
        <v>137</v>
      </c>
      <c r="V315" t="s">
        <v>138</v>
      </c>
      <c r="W315" t="s">
        <v>139</v>
      </c>
      <c r="X315">
        <v>1800000</v>
      </c>
      <c r="Y315">
        <v>2304000</v>
      </c>
      <c r="Z315" t="s">
        <v>56</v>
      </c>
      <c r="AA315" t="s">
        <v>129</v>
      </c>
      <c r="AB315" t="s">
        <v>61</v>
      </c>
      <c r="AC315" t="s">
        <v>54</v>
      </c>
      <c r="AD315" t="s">
        <v>94</v>
      </c>
      <c r="AE315">
        <v>2119680</v>
      </c>
      <c r="AF315">
        <v>1800000</v>
      </c>
      <c r="AG315">
        <v>319680</v>
      </c>
      <c r="AH315" t="b">
        <v>1</v>
      </c>
      <c r="AI315" t="b">
        <v>0</v>
      </c>
      <c r="AL315" t="b">
        <v>1</v>
      </c>
      <c r="AM315" t="b">
        <v>0</v>
      </c>
      <c r="AN315">
        <v>2119680</v>
      </c>
      <c r="AO315">
        <v>319680</v>
      </c>
      <c r="AP315">
        <v>1</v>
      </c>
      <c r="AQ315">
        <v>35</v>
      </c>
      <c r="AR315">
        <v>0</v>
      </c>
      <c r="AS315">
        <v>0</v>
      </c>
      <c r="AT315">
        <v>0</v>
      </c>
      <c r="AU315">
        <v>319680</v>
      </c>
    </row>
    <row r="316" spans="1:47" x14ac:dyDescent="0.3">
      <c r="A316" s="1">
        <v>46147</v>
      </c>
      <c r="B316" t="s">
        <v>525</v>
      </c>
      <c r="C316">
        <v>3</v>
      </c>
      <c r="D316" t="s">
        <v>288</v>
      </c>
      <c r="E316" t="s">
        <v>132</v>
      </c>
      <c r="F316" t="s">
        <v>114</v>
      </c>
      <c r="G316">
        <v>7</v>
      </c>
      <c r="H316">
        <v>4</v>
      </c>
      <c r="I316">
        <v>413000</v>
      </c>
      <c r="J316">
        <v>0</v>
      </c>
      <c r="K316" t="s">
        <v>51</v>
      </c>
      <c r="L316" s="1">
        <v>46157</v>
      </c>
      <c r="M316" s="1">
        <v>46156</v>
      </c>
      <c r="N316" t="s">
        <v>81</v>
      </c>
      <c r="P316">
        <v>314</v>
      </c>
      <c r="Q316" t="s">
        <v>289</v>
      </c>
      <c r="R316" t="s">
        <v>83</v>
      </c>
      <c r="S316" t="s">
        <v>69</v>
      </c>
      <c r="T316" t="s">
        <v>56</v>
      </c>
      <c r="U316" t="s">
        <v>133</v>
      </c>
      <c r="V316" t="s">
        <v>109</v>
      </c>
      <c r="W316" t="s">
        <v>110</v>
      </c>
      <c r="X316">
        <v>350000</v>
      </c>
      <c r="Y316">
        <v>413000</v>
      </c>
      <c r="Z316" t="s">
        <v>134</v>
      </c>
      <c r="AA316" t="s">
        <v>73</v>
      </c>
      <c r="AB316" t="s">
        <v>117</v>
      </c>
      <c r="AC316" t="s">
        <v>83</v>
      </c>
      <c r="AD316" t="s">
        <v>76</v>
      </c>
      <c r="AE316">
        <v>1652000</v>
      </c>
      <c r="AF316">
        <v>1400000</v>
      </c>
      <c r="AG316">
        <v>252000</v>
      </c>
      <c r="AH316" t="b">
        <v>1</v>
      </c>
      <c r="AI316" t="b">
        <v>1</v>
      </c>
      <c r="AJ316">
        <v>1</v>
      </c>
      <c r="AK316">
        <v>-1</v>
      </c>
      <c r="AL316" t="b">
        <v>1</v>
      </c>
      <c r="AM316" t="b">
        <v>0</v>
      </c>
      <c r="AN316">
        <v>1652000</v>
      </c>
      <c r="AO316">
        <v>252000</v>
      </c>
      <c r="AP316">
        <v>4</v>
      </c>
      <c r="AQ316">
        <v>7</v>
      </c>
      <c r="AR316">
        <v>1</v>
      </c>
      <c r="AS316">
        <v>1</v>
      </c>
      <c r="AT316">
        <v>0</v>
      </c>
      <c r="AU316">
        <v>252000</v>
      </c>
    </row>
    <row r="317" spans="1:47" x14ac:dyDescent="0.3">
      <c r="A317" s="1">
        <v>46194</v>
      </c>
      <c r="B317" t="s">
        <v>526</v>
      </c>
      <c r="C317">
        <v>4</v>
      </c>
      <c r="D317" t="s">
        <v>336</v>
      </c>
      <c r="E317" t="s">
        <v>315</v>
      </c>
      <c r="F317" t="s">
        <v>66</v>
      </c>
      <c r="G317">
        <v>5</v>
      </c>
      <c r="H317">
        <v>1</v>
      </c>
      <c r="I317">
        <v>2196000</v>
      </c>
      <c r="J317">
        <v>0</v>
      </c>
      <c r="K317" t="s">
        <v>98</v>
      </c>
      <c r="L317" s="1">
        <v>46199</v>
      </c>
      <c r="N317" t="s">
        <v>52</v>
      </c>
      <c r="P317">
        <v>315</v>
      </c>
      <c r="Q317" t="s">
        <v>337</v>
      </c>
      <c r="R317" t="s">
        <v>75</v>
      </c>
      <c r="S317" t="s">
        <v>84</v>
      </c>
      <c r="T317" t="s">
        <v>56</v>
      </c>
      <c r="U317" t="s">
        <v>316</v>
      </c>
      <c r="V317" t="s">
        <v>101</v>
      </c>
      <c r="W317" t="s">
        <v>102</v>
      </c>
      <c r="X317">
        <v>1800000</v>
      </c>
      <c r="Y317">
        <v>2196000</v>
      </c>
      <c r="Z317" t="s">
        <v>56</v>
      </c>
      <c r="AA317" t="s">
        <v>60</v>
      </c>
      <c r="AB317" t="s">
        <v>74</v>
      </c>
      <c r="AC317" t="s">
        <v>75</v>
      </c>
      <c r="AD317" t="s">
        <v>118</v>
      </c>
      <c r="AE317">
        <v>2196000</v>
      </c>
      <c r="AF317">
        <v>1800000</v>
      </c>
      <c r="AG317">
        <v>396000</v>
      </c>
      <c r="AH317" t="b">
        <v>1</v>
      </c>
      <c r="AI317" t="b">
        <v>0</v>
      </c>
      <c r="AL317" t="b">
        <v>1</v>
      </c>
      <c r="AM317" t="b">
        <v>0</v>
      </c>
      <c r="AN317">
        <v>2196000</v>
      </c>
      <c r="AO317">
        <v>396000</v>
      </c>
      <c r="AP317">
        <v>1</v>
      </c>
      <c r="AQ317">
        <v>5</v>
      </c>
      <c r="AR317">
        <v>0</v>
      </c>
      <c r="AS317">
        <v>0</v>
      </c>
      <c r="AT317">
        <v>0</v>
      </c>
      <c r="AU317">
        <v>396000</v>
      </c>
    </row>
    <row r="318" spans="1:47" x14ac:dyDescent="0.3">
      <c r="A318" s="1">
        <v>46032</v>
      </c>
      <c r="B318" t="s">
        <v>527</v>
      </c>
      <c r="C318">
        <v>1</v>
      </c>
      <c r="D318" t="s">
        <v>64</v>
      </c>
      <c r="E318" t="s">
        <v>197</v>
      </c>
      <c r="F318" t="s">
        <v>50</v>
      </c>
      <c r="G318">
        <v>5</v>
      </c>
      <c r="H318">
        <v>5</v>
      </c>
      <c r="I318">
        <v>1215000</v>
      </c>
      <c r="J318">
        <v>0.05</v>
      </c>
      <c r="K318" t="s">
        <v>51</v>
      </c>
      <c r="L318" s="1">
        <v>46037</v>
      </c>
      <c r="M318" s="1">
        <v>46038</v>
      </c>
      <c r="N318" t="s">
        <v>67</v>
      </c>
      <c r="P318">
        <v>316</v>
      </c>
      <c r="Q318" t="s">
        <v>68</v>
      </c>
      <c r="R318" t="s">
        <v>54</v>
      </c>
      <c r="S318" t="s">
        <v>69</v>
      </c>
      <c r="T318" t="s">
        <v>56</v>
      </c>
      <c r="U318" t="s">
        <v>198</v>
      </c>
      <c r="V318" t="s">
        <v>71</v>
      </c>
      <c r="W318" t="s">
        <v>72</v>
      </c>
      <c r="X318">
        <v>900000</v>
      </c>
      <c r="Y318">
        <v>1215000</v>
      </c>
      <c r="Z318" t="s">
        <v>56</v>
      </c>
      <c r="AA318" t="s">
        <v>129</v>
      </c>
      <c r="AB318" t="s">
        <v>61</v>
      </c>
      <c r="AC318" t="s">
        <v>54</v>
      </c>
      <c r="AD318" t="s">
        <v>94</v>
      </c>
      <c r="AE318">
        <v>5771250</v>
      </c>
      <c r="AF318">
        <v>4500000</v>
      </c>
      <c r="AG318">
        <v>1271250</v>
      </c>
      <c r="AH318" t="b">
        <v>1</v>
      </c>
      <c r="AI318" t="b">
        <v>1</v>
      </c>
      <c r="AJ318">
        <v>0</v>
      </c>
      <c r="AK318">
        <v>1</v>
      </c>
      <c r="AL318" t="b">
        <v>1</v>
      </c>
      <c r="AM318" t="b">
        <v>0</v>
      </c>
      <c r="AN318">
        <v>5771250</v>
      </c>
      <c r="AO318">
        <v>1271250</v>
      </c>
      <c r="AP318">
        <v>5</v>
      </c>
      <c r="AQ318">
        <v>5</v>
      </c>
      <c r="AR318">
        <v>0</v>
      </c>
      <c r="AS318">
        <v>1</v>
      </c>
      <c r="AT318">
        <v>0</v>
      </c>
      <c r="AU318">
        <v>1271250</v>
      </c>
    </row>
    <row r="319" spans="1:47" x14ac:dyDescent="0.3">
      <c r="A319" s="1">
        <v>46133</v>
      </c>
      <c r="B319" t="s">
        <v>299</v>
      </c>
      <c r="C319">
        <v>1</v>
      </c>
      <c r="D319" t="s">
        <v>104</v>
      </c>
      <c r="E319" t="s">
        <v>230</v>
      </c>
      <c r="F319" t="s">
        <v>114</v>
      </c>
      <c r="G319">
        <v>5</v>
      </c>
      <c r="H319">
        <v>4</v>
      </c>
      <c r="I319">
        <v>2196000</v>
      </c>
      <c r="J319">
        <v>0</v>
      </c>
      <c r="K319" t="s">
        <v>98</v>
      </c>
      <c r="L319" s="1">
        <v>46143</v>
      </c>
      <c r="N319" t="s">
        <v>106</v>
      </c>
      <c r="P319">
        <v>317</v>
      </c>
      <c r="Q319" t="s">
        <v>107</v>
      </c>
      <c r="R319" t="s">
        <v>83</v>
      </c>
      <c r="S319" t="s">
        <v>55</v>
      </c>
      <c r="T319" t="s">
        <v>56</v>
      </c>
      <c r="U319" t="s">
        <v>232</v>
      </c>
      <c r="V319" t="s">
        <v>101</v>
      </c>
      <c r="W319" t="s">
        <v>102</v>
      </c>
      <c r="X319">
        <v>1800000</v>
      </c>
      <c r="Y319">
        <v>2196000</v>
      </c>
      <c r="Z319" t="s">
        <v>56</v>
      </c>
      <c r="AA319" t="s">
        <v>129</v>
      </c>
      <c r="AB319" t="s">
        <v>117</v>
      </c>
      <c r="AC319" t="s">
        <v>83</v>
      </c>
      <c r="AD319" t="s">
        <v>130</v>
      </c>
      <c r="AE319">
        <v>8784000</v>
      </c>
      <c r="AF319">
        <v>7200000</v>
      </c>
      <c r="AG319">
        <v>1584000</v>
      </c>
      <c r="AH319" t="b">
        <v>1</v>
      </c>
      <c r="AI319" t="b">
        <v>0</v>
      </c>
      <c r="AL319" t="b">
        <v>1</v>
      </c>
      <c r="AM319" t="b">
        <v>0</v>
      </c>
      <c r="AN319">
        <v>8784000</v>
      </c>
      <c r="AO319">
        <v>1584000</v>
      </c>
      <c r="AP319">
        <v>4</v>
      </c>
      <c r="AQ319">
        <v>5</v>
      </c>
      <c r="AR319">
        <v>0</v>
      </c>
      <c r="AS319">
        <v>0</v>
      </c>
      <c r="AT319">
        <v>0</v>
      </c>
      <c r="AU319">
        <v>1584000</v>
      </c>
    </row>
    <row r="320" spans="1:47" x14ac:dyDescent="0.3">
      <c r="A320" s="1">
        <v>46114</v>
      </c>
      <c r="B320" t="s">
        <v>346</v>
      </c>
      <c r="C320">
        <v>1</v>
      </c>
      <c r="D320" t="s">
        <v>163</v>
      </c>
      <c r="E320" t="s">
        <v>378</v>
      </c>
      <c r="F320" t="s">
        <v>114</v>
      </c>
      <c r="G320">
        <v>19</v>
      </c>
      <c r="H320">
        <v>14</v>
      </c>
      <c r="I320">
        <v>793000</v>
      </c>
      <c r="J320">
        <v>0.05</v>
      </c>
      <c r="K320" t="s">
        <v>98</v>
      </c>
      <c r="L320" s="1">
        <v>46119</v>
      </c>
      <c r="N320" t="s">
        <v>106</v>
      </c>
      <c r="P320">
        <v>318</v>
      </c>
      <c r="Q320" t="s">
        <v>164</v>
      </c>
      <c r="R320" t="s">
        <v>75</v>
      </c>
      <c r="S320" t="s">
        <v>69</v>
      </c>
      <c r="T320" t="s">
        <v>56</v>
      </c>
      <c r="U320" t="s">
        <v>380</v>
      </c>
      <c r="V320" t="s">
        <v>101</v>
      </c>
      <c r="W320" t="s">
        <v>102</v>
      </c>
      <c r="X320">
        <v>650000</v>
      </c>
      <c r="Y320">
        <v>793000</v>
      </c>
      <c r="Z320" t="s">
        <v>56</v>
      </c>
      <c r="AA320" t="s">
        <v>129</v>
      </c>
      <c r="AB320" t="s">
        <v>117</v>
      </c>
      <c r="AC320" t="s">
        <v>83</v>
      </c>
      <c r="AD320" t="s">
        <v>130</v>
      </c>
      <c r="AE320">
        <v>10546900</v>
      </c>
      <c r="AF320">
        <v>9100000</v>
      </c>
      <c r="AG320">
        <v>1446900</v>
      </c>
      <c r="AH320" t="b">
        <v>1</v>
      </c>
      <c r="AI320" t="b">
        <v>0</v>
      </c>
      <c r="AL320" t="b">
        <v>1</v>
      </c>
      <c r="AM320" t="b">
        <v>0</v>
      </c>
      <c r="AN320">
        <v>10546900</v>
      </c>
      <c r="AO320">
        <v>1446900</v>
      </c>
      <c r="AP320">
        <v>14</v>
      </c>
      <c r="AQ320">
        <v>19</v>
      </c>
      <c r="AR320">
        <v>0</v>
      </c>
      <c r="AS320">
        <v>0</v>
      </c>
      <c r="AT320">
        <v>0</v>
      </c>
      <c r="AU320">
        <v>1446900</v>
      </c>
    </row>
    <row r="321" spans="1:47" x14ac:dyDescent="0.3">
      <c r="A321" s="1">
        <v>46144</v>
      </c>
      <c r="B321" t="s">
        <v>359</v>
      </c>
      <c r="C321">
        <v>2</v>
      </c>
      <c r="D321" t="s">
        <v>277</v>
      </c>
      <c r="E321" t="s">
        <v>259</v>
      </c>
      <c r="F321" t="s">
        <v>50</v>
      </c>
      <c r="G321">
        <v>10</v>
      </c>
      <c r="H321">
        <v>7</v>
      </c>
      <c r="I321">
        <v>146000</v>
      </c>
      <c r="J321">
        <v>0.02</v>
      </c>
      <c r="K321" t="s">
        <v>51</v>
      </c>
      <c r="L321" s="1">
        <v>46145</v>
      </c>
      <c r="M321" s="1">
        <v>46147</v>
      </c>
      <c r="N321" t="s">
        <v>81</v>
      </c>
      <c r="P321">
        <v>319</v>
      </c>
      <c r="Q321" t="s">
        <v>278</v>
      </c>
      <c r="R321" t="s">
        <v>75</v>
      </c>
      <c r="S321" t="s">
        <v>123</v>
      </c>
      <c r="T321" t="s">
        <v>218</v>
      </c>
      <c r="U321" t="s">
        <v>260</v>
      </c>
      <c r="V321" t="s">
        <v>101</v>
      </c>
      <c r="W321" t="s">
        <v>102</v>
      </c>
      <c r="X321">
        <v>120000</v>
      </c>
      <c r="Y321">
        <v>146000</v>
      </c>
      <c r="Z321" t="s">
        <v>56</v>
      </c>
      <c r="AA321" t="s">
        <v>129</v>
      </c>
      <c r="AB321" t="s">
        <v>61</v>
      </c>
      <c r="AC321" t="s">
        <v>54</v>
      </c>
      <c r="AD321" t="s">
        <v>76</v>
      </c>
      <c r="AE321">
        <v>1001560</v>
      </c>
      <c r="AF321">
        <v>840000</v>
      </c>
      <c r="AG321">
        <v>161560</v>
      </c>
      <c r="AH321" t="b">
        <v>1</v>
      </c>
      <c r="AI321" t="b">
        <v>1</v>
      </c>
      <c r="AJ321">
        <v>0</v>
      </c>
      <c r="AK321">
        <v>2</v>
      </c>
      <c r="AL321" t="b">
        <v>1</v>
      </c>
      <c r="AM321" t="b">
        <v>0</v>
      </c>
      <c r="AN321">
        <v>1001560</v>
      </c>
      <c r="AO321">
        <v>161560</v>
      </c>
      <c r="AP321">
        <v>7</v>
      </c>
      <c r="AQ321">
        <v>10</v>
      </c>
      <c r="AR321">
        <v>0</v>
      </c>
      <c r="AS321">
        <v>1</v>
      </c>
      <c r="AT321">
        <v>0</v>
      </c>
      <c r="AU321">
        <v>161560</v>
      </c>
    </row>
    <row r="322" spans="1:47" x14ac:dyDescent="0.3">
      <c r="A322" s="1">
        <v>46054</v>
      </c>
      <c r="B322" t="s">
        <v>503</v>
      </c>
      <c r="C322">
        <v>1</v>
      </c>
      <c r="D322" t="s">
        <v>185</v>
      </c>
      <c r="E322" t="s">
        <v>259</v>
      </c>
      <c r="F322" t="s">
        <v>114</v>
      </c>
      <c r="G322">
        <v>20</v>
      </c>
      <c r="H322">
        <v>17</v>
      </c>
      <c r="I322">
        <v>146000</v>
      </c>
      <c r="J322">
        <v>0.02</v>
      </c>
      <c r="K322" t="s">
        <v>51</v>
      </c>
      <c r="L322" s="1">
        <v>46056</v>
      </c>
      <c r="M322" s="1">
        <v>46057</v>
      </c>
      <c r="N322" t="s">
        <v>81</v>
      </c>
      <c r="P322">
        <v>320</v>
      </c>
      <c r="Q322" t="s">
        <v>186</v>
      </c>
      <c r="R322" t="s">
        <v>54</v>
      </c>
      <c r="S322" t="s">
        <v>55</v>
      </c>
      <c r="T322" t="s">
        <v>56</v>
      </c>
      <c r="U322" t="s">
        <v>260</v>
      </c>
      <c r="V322" t="s">
        <v>101</v>
      </c>
      <c r="W322" t="s">
        <v>102</v>
      </c>
      <c r="X322">
        <v>120000</v>
      </c>
      <c r="Y322">
        <v>146000</v>
      </c>
      <c r="Z322" t="s">
        <v>56</v>
      </c>
      <c r="AA322" t="s">
        <v>129</v>
      </c>
      <c r="AB322" t="s">
        <v>117</v>
      </c>
      <c r="AC322" t="s">
        <v>83</v>
      </c>
      <c r="AD322" t="s">
        <v>158</v>
      </c>
      <c r="AE322">
        <v>2432360</v>
      </c>
      <c r="AF322">
        <v>2040000</v>
      </c>
      <c r="AG322">
        <v>392360</v>
      </c>
      <c r="AH322" t="b">
        <v>1</v>
      </c>
      <c r="AI322" t="b">
        <v>1</v>
      </c>
      <c r="AJ322">
        <v>0</v>
      </c>
      <c r="AK322">
        <v>1</v>
      </c>
      <c r="AL322" t="b">
        <v>1</v>
      </c>
      <c r="AM322" t="b">
        <v>0</v>
      </c>
      <c r="AN322">
        <v>2432360</v>
      </c>
      <c r="AO322">
        <v>392360</v>
      </c>
      <c r="AP322">
        <v>17</v>
      </c>
      <c r="AQ322">
        <v>20</v>
      </c>
      <c r="AR322">
        <v>0</v>
      </c>
      <c r="AS322">
        <v>1</v>
      </c>
      <c r="AT322">
        <v>0</v>
      </c>
      <c r="AU322">
        <v>392360</v>
      </c>
    </row>
    <row r="323" spans="1:47" x14ac:dyDescent="0.3">
      <c r="A323" s="1">
        <v>46064</v>
      </c>
      <c r="B323" t="s">
        <v>528</v>
      </c>
      <c r="C323">
        <v>2</v>
      </c>
      <c r="D323" t="s">
        <v>262</v>
      </c>
      <c r="E323" t="s">
        <v>121</v>
      </c>
      <c r="F323" t="s">
        <v>80</v>
      </c>
      <c r="G323">
        <v>8</v>
      </c>
      <c r="H323">
        <v>8</v>
      </c>
      <c r="I323">
        <v>225000</v>
      </c>
      <c r="J323">
        <v>0.08</v>
      </c>
      <c r="K323" t="s">
        <v>51</v>
      </c>
      <c r="L323" s="1">
        <v>46069</v>
      </c>
      <c r="M323" s="1">
        <v>46072</v>
      </c>
      <c r="N323" t="s">
        <v>106</v>
      </c>
      <c r="P323">
        <v>321</v>
      </c>
      <c r="Q323" t="s">
        <v>263</v>
      </c>
      <c r="R323" t="s">
        <v>83</v>
      </c>
      <c r="S323" t="s">
        <v>55</v>
      </c>
      <c r="T323" t="s">
        <v>56</v>
      </c>
      <c r="U323" t="s">
        <v>124</v>
      </c>
      <c r="V323" t="s">
        <v>86</v>
      </c>
      <c r="W323" t="s">
        <v>87</v>
      </c>
      <c r="X323">
        <v>180000</v>
      </c>
      <c r="Y323">
        <v>225000</v>
      </c>
      <c r="Z323" t="s">
        <v>56</v>
      </c>
      <c r="AA323" t="s">
        <v>60</v>
      </c>
      <c r="AB323" t="s">
        <v>88</v>
      </c>
      <c r="AC323" t="s">
        <v>83</v>
      </c>
      <c r="AD323" t="s">
        <v>158</v>
      </c>
      <c r="AE323">
        <v>1656000</v>
      </c>
      <c r="AF323">
        <v>1440000</v>
      </c>
      <c r="AG323">
        <v>216000</v>
      </c>
      <c r="AH323" t="b">
        <v>1</v>
      </c>
      <c r="AI323" t="b">
        <v>1</v>
      </c>
      <c r="AJ323">
        <v>0</v>
      </c>
      <c r="AK323">
        <v>3</v>
      </c>
      <c r="AL323" t="b">
        <v>1</v>
      </c>
      <c r="AM323" t="b">
        <v>0</v>
      </c>
      <c r="AN323">
        <v>1656000</v>
      </c>
      <c r="AO323">
        <v>216000</v>
      </c>
      <c r="AP323">
        <v>8</v>
      </c>
      <c r="AQ323">
        <v>8</v>
      </c>
      <c r="AR323">
        <v>0</v>
      </c>
      <c r="AS323">
        <v>1</v>
      </c>
      <c r="AT323">
        <v>0</v>
      </c>
      <c r="AU323">
        <v>216000</v>
      </c>
    </row>
    <row r="324" spans="1:47" x14ac:dyDescent="0.3">
      <c r="A324" s="1">
        <v>46097</v>
      </c>
      <c r="B324" t="s">
        <v>432</v>
      </c>
      <c r="C324">
        <v>3</v>
      </c>
      <c r="D324" t="s">
        <v>336</v>
      </c>
      <c r="E324" t="s">
        <v>147</v>
      </c>
      <c r="F324" t="s">
        <v>66</v>
      </c>
      <c r="G324">
        <v>22</v>
      </c>
      <c r="H324">
        <v>19</v>
      </c>
      <c r="I324">
        <v>614000</v>
      </c>
      <c r="J324">
        <v>0</v>
      </c>
      <c r="K324" t="s">
        <v>51</v>
      </c>
      <c r="L324" s="1">
        <v>46098</v>
      </c>
      <c r="M324" s="1">
        <v>46098</v>
      </c>
      <c r="N324" t="s">
        <v>106</v>
      </c>
      <c r="P324">
        <v>322</v>
      </c>
      <c r="Q324" t="s">
        <v>337</v>
      </c>
      <c r="R324" t="s">
        <v>75</v>
      </c>
      <c r="S324" t="s">
        <v>84</v>
      </c>
      <c r="T324" t="s">
        <v>56</v>
      </c>
      <c r="U324" t="s">
        <v>149</v>
      </c>
      <c r="V324" t="s">
        <v>138</v>
      </c>
      <c r="W324" t="s">
        <v>139</v>
      </c>
      <c r="X324">
        <v>480000</v>
      </c>
      <c r="Y324">
        <v>614000</v>
      </c>
      <c r="Z324" t="s">
        <v>56</v>
      </c>
      <c r="AA324" t="s">
        <v>129</v>
      </c>
      <c r="AB324" t="s">
        <v>74</v>
      </c>
      <c r="AC324" t="s">
        <v>75</v>
      </c>
      <c r="AD324" t="s">
        <v>62</v>
      </c>
      <c r="AE324">
        <v>11666000</v>
      </c>
      <c r="AF324">
        <v>9120000</v>
      </c>
      <c r="AG324">
        <v>2546000</v>
      </c>
      <c r="AH324" t="b">
        <v>1</v>
      </c>
      <c r="AI324" t="b">
        <v>1</v>
      </c>
      <c r="AJ324">
        <v>1</v>
      </c>
      <c r="AK324">
        <v>0</v>
      </c>
      <c r="AL324" t="b">
        <v>1</v>
      </c>
      <c r="AM324" t="b">
        <v>0</v>
      </c>
      <c r="AN324">
        <v>11666000</v>
      </c>
      <c r="AO324">
        <v>2546000</v>
      </c>
      <c r="AP324">
        <v>19</v>
      </c>
      <c r="AQ324">
        <v>22</v>
      </c>
      <c r="AR324">
        <v>1</v>
      </c>
      <c r="AS324">
        <v>1</v>
      </c>
      <c r="AT324">
        <v>0</v>
      </c>
      <c r="AU324">
        <v>2546000</v>
      </c>
    </row>
    <row r="325" spans="1:47" x14ac:dyDescent="0.3">
      <c r="A325" s="1">
        <v>46072</v>
      </c>
      <c r="B325" t="s">
        <v>529</v>
      </c>
      <c r="C325">
        <v>4</v>
      </c>
      <c r="D325" t="s">
        <v>229</v>
      </c>
      <c r="E325" t="s">
        <v>255</v>
      </c>
      <c r="F325" t="s">
        <v>50</v>
      </c>
      <c r="G325">
        <v>10</v>
      </c>
      <c r="H325">
        <v>10</v>
      </c>
      <c r="I325">
        <v>234000</v>
      </c>
      <c r="J325">
        <v>0.05</v>
      </c>
      <c r="K325" t="s">
        <v>51</v>
      </c>
      <c r="L325" s="1">
        <v>46074</v>
      </c>
      <c r="M325" s="1">
        <v>46073</v>
      </c>
      <c r="N325" t="s">
        <v>52</v>
      </c>
      <c r="P325">
        <v>323</v>
      </c>
      <c r="Q325" t="s">
        <v>231</v>
      </c>
      <c r="R325" t="s">
        <v>83</v>
      </c>
      <c r="S325" t="s">
        <v>123</v>
      </c>
      <c r="T325" t="s">
        <v>56</v>
      </c>
      <c r="U325" t="s">
        <v>257</v>
      </c>
      <c r="V325" t="s">
        <v>58</v>
      </c>
      <c r="W325" t="s">
        <v>59</v>
      </c>
      <c r="X325">
        <v>180000</v>
      </c>
      <c r="Y325">
        <v>234000</v>
      </c>
      <c r="Z325" t="s">
        <v>56</v>
      </c>
      <c r="AA325" t="s">
        <v>60</v>
      </c>
      <c r="AB325" t="s">
        <v>61</v>
      </c>
      <c r="AC325" t="s">
        <v>54</v>
      </c>
      <c r="AD325" t="s">
        <v>158</v>
      </c>
      <c r="AE325">
        <v>2223000</v>
      </c>
      <c r="AF325">
        <v>1800000</v>
      </c>
      <c r="AG325">
        <v>423000</v>
      </c>
      <c r="AH325" t="b">
        <v>1</v>
      </c>
      <c r="AI325" t="b">
        <v>1</v>
      </c>
      <c r="AJ325">
        <v>1</v>
      </c>
      <c r="AK325">
        <v>-1</v>
      </c>
      <c r="AL325" t="b">
        <v>1</v>
      </c>
      <c r="AM325" t="b">
        <v>0</v>
      </c>
      <c r="AN325">
        <v>2223000</v>
      </c>
      <c r="AO325">
        <v>423000</v>
      </c>
      <c r="AP325">
        <v>10</v>
      </c>
      <c r="AQ325">
        <v>10</v>
      </c>
      <c r="AR325">
        <v>1</v>
      </c>
      <c r="AS325">
        <v>1</v>
      </c>
      <c r="AT325">
        <v>0</v>
      </c>
      <c r="AU325">
        <v>423000</v>
      </c>
    </row>
    <row r="326" spans="1:47" x14ac:dyDescent="0.3">
      <c r="A326" s="1">
        <v>46086</v>
      </c>
      <c r="B326" t="s">
        <v>492</v>
      </c>
      <c r="C326">
        <v>4</v>
      </c>
      <c r="D326" t="s">
        <v>209</v>
      </c>
      <c r="E326" t="s">
        <v>242</v>
      </c>
      <c r="F326" t="s">
        <v>80</v>
      </c>
      <c r="G326">
        <v>22</v>
      </c>
      <c r="H326">
        <v>0</v>
      </c>
      <c r="I326">
        <v>1620000</v>
      </c>
      <c r="J326">
        <v>0.05</v>
      </c>
      <c r="K326" t="s">
        <v>127</v>
      </c>
      <c r="L326" s="1">
        <v>46091</v>
      </c>
      <c r="N326" t="s">
        <v>52</v>
      </c>
      <c r="P326">
        <v>324</v>
      </c>
      <c r="Q326" t="s">
        <v>211</v>
      </c>
      <c r="R326" t="s">
        <v>54</v>
      </c>
      <c r="S326" t="s">
        <v>84</v>
      </c>
      <c r="T326" t="s">
        <v>56</v>
      </c>
      <c r="U326" t="s">
        <v>243</v>
      </c>
      <c r="V326" t="s">
        <v>71</v>
      </c>
      <c r="W326" t="s">
        <v>72</v>
      </c>
      <c r="X326">
        <v>1200000</v>
      </c>
      <c r="Y326">
        <v>1620000</v>
      </c>
      <c r="Z326" t="s">
        <v>56</v>
      </c>
      <c r="AA326" t="s">
        <v>73</v>
      </c>
      <c r="AB326" t="s">
        <v>88</v>
      </c>
      <c r="AC326" t="s">
        <v>83</v>
      </c>
      <c r="AD326" t="s">
        <v>62</v>
      </c>
      <c r="AE326">
        <v>0</v>
      </c>
      <c r="AG326">
        <v>0</v>
      </c>
      <c r="AH326" t="b">
        <v>1</v>
      </c>
      <c r="AI326" t="b">
        <v>0</v>
      </c>
      <c r="AL326" t="b">
        <v>0</v>
      </c>
      <c r="AM326" t="b">
        <v>0</v>
      </c>
      <c r="AN326">
        <v>0</v>
      </c>
      <c r="AO326">
        <v>0</v>
      </c>
      <c r="AP326">
        <v>0</v>
      </c>
      <c r="AQ326">
        <v>0</v>
      </c>
      <c r="AR326">
        <v>0</v>
      </c>
      <c r="AS326">
        <v>0</v>
      </c>
      <c r="AT326">
        <v>0</v>
      </c>
      <c r="AU326">
        <v>0</v>
      </c>
    </row>
    <row r="327" spans="1:47" x14ac:dyDescent="0.3">
      <c r="A327" s="1">
        <v>46101</v>
      </c>
      <c r="B327" t="s">
        <v>530</v>
      </c>
      <c r="C327">
        <v>1</v>
      </c>
      <c r="D327" t="s">
        <v>269</v>
      </c>
      <c r="E327" t="s">
        <v>65</v>
      </c>
      <c r="F327" t="s">
        <v>50</v>
      </c>
      <c r="G327">
        <v>9</v>
      </c>
      <c r="H327">
        <v>0</v>
      </c>
      <c r="I327">
        <v>2430000</v>
      </c>
      <c r="J327">
        <v>0</v>
      </c>
      <c r="K327" t="s">
        <v>127</v>
      </c>
      <c r="L327" s="1">
        <v>46104</v>
      </c>
      <c r="N327" t="s">
        <v>106</v>
      </c>
      <c r="P327">
        <v>325</v>
      </c>
      <c r="Q327" t="s">
        <v>270</v>
      </c>
      <c r="R327" t="s">
        <v>83</v>
      </c>
      <c r="S327" t="s">
        <v>55</v>
      </c>
      <c r="T327" t="s">
        <v>56</v>
      </c>
      <c r="U327" t="s">
        <v>70</v>
      </c>
      <c r="V327" t="s">
        <v>71</v>
      </c>
      <c r="W327" t="s">
        <v>72</v>
      </c>
      <c r="X327">
        <v>1800000</v>
      </c>
      <c r="Y327">
        <v>2430000</v>
      </c>
      <c r="Z327" t="s">
        <v>56</v>
      </c>
      <c r="AA327" t="s">
        <v>73</v>
      </c>
      <c r="AB327" t="s">
        <v>61</v>
      </c>
      <c r="AC327" t="s">
        <v>54</v>
      </c>
      <c r="AD327" t="s">
        <v>62</v>
      </c>
      <c r="AE327">
        <v>0</v>
      </c>
      <c r="AG327">
        <v>0</v>
      </c>
      <c r="AH327" t="b">
        <v>1</v>
      </c>
      <c r="AI327" t="b">
        <v>0</v>
      </c>
      <c r="AL327" t="b">
        <v>0</v>
      </c>
      <c r="AM327" t="b">
        <v>0</v>
      </c>
      <c r="AN327">
        <v>0</v>
      </c>
      <c r="AO327">
        <v>0</v>
      </c>
      <c r="AP327">
        <v>0</v>
      </c>
      <c r="AQ327">
        <v>0</v>
      </c>
      <c r="AR327">
        <v>0</v>
      </c>
      <c r="AS327">
        <v>0</v>
      </c>
      <c r="AT327">
        <v>0</v>
      </c>
      <c r="AU327">
        <v>0</v>
      </c>
    </row>
    <row r="328" spans="1:47" x14ac:dyDescent="0.3">
      <c r="A328" s="1">
        <v>46042</v>
      </c>
      <c r="B328" t="s">
        <v>531</v>
      </c>
      <c r="C328">
        <v>1</v>
      </c>
      <c r="D328" t="s">
        <v>120</v>
      </c>
      <c r="E328" t="s">
        <v>259</v>
      </c>
      <c r="F328" t="s">
        <v>80</v>
      </c>
      <c r="G328">
        <v>3</v>
      </c>
      <c r="H328">
        <v>0</v>
      </c>
      <c r="I328">
        <v>146000</v>
      </c>
      <c r="J328">
        <v>0.05</v>
      </c>
      <c r="K328" t="s">
        <v>51</v>
      </c>
      <c r="L328" s="1">
        <v>46052</v>
      </c>
      <c r="M328" s="1">
        <v>46059</v>
      </c>
      <c r="N328" t="s">
        <v>81</v>
      </c>
      <c r="P328">
        <v>326</v>
      </c>
      <c r="Q328" t="s">
        <v>122</v>
      </c>
      <c r="R328" t="s">
        <v>54</v>
      </c>
      <c r="S328" t="s">
        <v>123</v>
      </c>
      <c r="T328" t="s">
        <v>56</v>
      </c>
      <c r="U328" t="s">
        <v>260</v>
      </c>
      <c r="V328" t="s">
        <v>101</v>
      </c>
      <c r="W328" t="s">
        <v>102</v>
      </c>
      <c r="X328">
        <v>120000</v>
      </c>
      <c r="Y328">
        <v>146000</v>
      </c>
      <c r="Z328" t="s">
        <v>56</v>
      </c>
      <c r="AA328" t="s">
        <v>129</v>
      </c>
      <c r="AB328" t="s">
        <v>88</v>
      </c>
      <c r="AC328" t="s">
        <v>83</v>
      </c>
      <c r="AD328" t="s">
        <v>94</v>
      </c>
      <c r="AE328">
        <v>0</v>
      </c>
      <c r="AF328">
        <v>0</v>
      </c>
      <c r="AG328">
        <v>0</v>
      </c>
      <c r="AH328" t="b">
        <v>1</v>
      </c>
      <c r="AI328" t="b">
        <v>1</v>
      </c>
      <c r="AJ328">
        <v>0</v>
      </c>
      <c r="AK328">
        <v>7</v>
      </c>
      <c r="AL328" t="b">
        <v>1</v>
      </c>
      <c r="AM328" t="b">
        <v>0</v>
      </c>
      <c r="AN328">
        <v>0</v>
      </c>
      <c r="AO328">
        <v>0</v>
      </c>
      <c r="AP328">
        <v>0</v>
      </c>
      <c r="AQ328">
        <v>3</v>
      </c>
      <c r="AR328">
        <v>0</v>
      </c>
      <c r="AS328">
        <v>1</v>
      </c>
      <c r="AT328">
        <v>0</v>
      </c>
      <c r="AU328">
        <v>0</v>
      </c>
    </row>
    <row r="329" spans="1:47" x14ac:dyDescent="0.3">
      <c r="A329" s="1">
        <v>46116</v>
      </c>
      <c r="B329" t="s">
        <v>532</v>
      </c>
      <c r="C329">
        <v>2</v>
      </c>
      <c r="D329" t="s">
        <v>120</v>
      </c>
      <c r="E329" t="s">
        <v>246</v>
      </c>
      <c r="F329" t="s">
        <v>80</v>
      </c>
      <c r="G329">
        <v>30</v>
      </c>
      <c r="H329">
        <v>30</v>
      </c>
      <c r="I329">
        <v>1152000</v>
      </c>
      <c r="J329">
        <v>0.02</v>
      </c>
      <c r="K329" t="s">
        <v>51</v>
      </c>
      <c r="L329" s="1">
        <v>46123</v>
      </c>
      <c r="M329" s="1">
        <v>46122</v>
      </c>
      <c r="N329" t="s">
        <v>81</v>
      </c>
      <c r="P329">
        <v>327</v>
      </c>
      <c r="Q329" t="s">
        <v>122</v>
      </c>
      <c r="R329" t="s">
        <v>54</v>
      </c>
      <c r="S329" t="s">
        <v>123</v>
      </c>
      <c r="T329" t="s">
        <v>56</v>
      </c>
      <c r="U329" t="s">
        <v>248</v>
      </c>
      <c r="V329" t="s">
        <v>138</v>
      </c>
      <c r="W329" t="s">
        <v>139</v>
      </c>
      <c r="X329">
        <v>900000</v>
      </c>
      <c r="Y329">
        <v>1152000</v>
      </c>
      <c r="Z329" t="s">
        <v>56</v>
      </c>
      <c r="AA329" t="s">
        <v>73</v>
      </c>
      <c r="AB329" t="s">
        <v>88</v>
      </c>
      <c r="AC329" t="s">
        <v>83</v>
      </c>
      <c r="AD329" t="s">
        <v>130</v>
      </c>
      <c r="AE329">
        <v>33868800</v>
      </c>
      <c r="AF329">
        <v>27000000</v>
      </c>
      <c r="AG329">
        <v>6868800</v>
      </c>
      <c r="AH329" t="b">
        <v>1</v>
      </c>
      <c r="AI329" t="b">
        <v>1</v>
      </c>
      <c r="AJ329">
        <v>1</v>
      </c>
      <c r="AK329">
        <v>-1</v>
      </c>
      <c r="AL329" t="b">
        <v>1</v>
      </c>
      <c r="AM329" t="b">
        <v>0</v>
      </c>
      <c r="AN329">
        <v>33868800</v>
      </c>
      <c r="AO329">
        <v>6868800</v>
      </c>
      <c r="AP329">
        <v>30</v>
      </c>
      <c r="AQ329">
        <v>30</v>
      </c>
      <c r="AR329">
        <v>1</v>
      </c>
      <c r="AS329">
        <v>1</v>
      </c>
      <c r="AT329">
        <v>0</v>
      </c>
      <c r="AU329">
        <v>6868800</v>
      </c>
    </row>
    <row r="330" spans="1:47" x14ac:dyDescent="0.3">
      <c r="A330" s="1">
        <v>46180</v>
      </c>
      <c r="B330" t="s">
        <v>533</v>
      </c>
      <c r="C330">
        <v>2</v>
      </c>
      <c r="D330" t="s">
        <v>229</v>
      </c>
      <c r="E330" t="s">
        <v>311</v>
      </c>
      <c r="F330" t="s">
        <v>80</v>
      </c>
      <c r="G330">
        <v>10</v>
      </c>
      <c r="H330">
        <v>7</v>
      </c>
      <c r="I330">
        <v>437000</v>
      </c>
      <c r="J330">
        <v>0.02</v>
      </c>
      <c r="K330" t="s">
        <v>98</v>
      </c>
      <c r="L330" s="1">
        <v>46181</v>
      </c>
      <c r="N330" t="s">
        <v>81</v>
      </c>
      <c r="P330">
        <v>328</v>
      </c>
      <c r="Q330" t="s">
        <v>231</v>
      </c>
      <c r="R330" t="s">
        <v>83</v>
      </c>
      <c r="S330" t="s">
        <v>123</v>
      </c>
      <c r="T330" t="s">
        <v>56</v>
      </c>
      <c r="U330" t="s">
        <v>312</v>
      </c>
      <c r="V330" t="s">
        <v>86</v>
      </c>
      <c r="W330" t="s">
        <v>87</v>
      </c>
      <c r="X330">
        <v>350000</v>
      </c>
      <c r="Y330">
        <v>437000</v>
      </c>
      <c r="Z330" t="s">
        <v>56</v>
      </c>
      <c r="AA330" t="s">
        <v>60</v>
      </c>
      <c r="AB330" t="s">
        <v>88</v>
      </c>
      <c r="AC330" t="s">
        <v>83</v>
      </c>
      <c r="AD330" t="s">
        <v>118</v>
      </c>
      <c r="AE330">
        <v>2997820</v>
      </c>
      <c r="AF330">
        <v>2450000</v>
      </c>
      <c r="AG330">
        <v>547820</v>
      </c>
      <c r="AH330" t="b">
        <v>1</v>
      </c>
      <c r="AI330" t="b">
        <v>0</v>
      </c>
      <c r="AL330" t="b">
        <v>1</v>
      </c>
      <c r="AM330" t="b">
        <v>0</v>
      </c>
      <c r="AN330">
        <v>2997820</v>
      </c>
      <c r="AO330">
        <v>547820</v>
      </c>
      <c r="AP330">
        <v>7</v>
      </c>
      <c r="AQ330">
        <v>10</v>
      </c>
      <c r="AR330">
        <v>0</v>
      </c>
      <c r="AS330">
        <v>0</v>
      </c>
      <c r="AT330">
        <v>0</v>
      </c>
      <c r="AU330">
        <v>547820</v>
      </c>
    </row>
    <row r="331" spans="1:47" x14ac:dyDescent="0.3">
      <c r="A331" s="1">
        <v>46147</v>
      </c>
      <c r="B331" t="s">
        <v>534</v>
      </c>
      <c r="C331">
        <v>1</v>
      </c>
      <c r="D331" t="s">
        <v>239</v>
      </c>
      <c r="E331" t="s">
        <v>242</v>
      </c>
      <c r="F331" t="s">
        <v>80</v>
      </c>
      <c r="G331">
        <v>3</v>
      </c>
      <c r="H331">
        <v>3</v>
      </c>
      <c r="I331">
        <v>1620000</v>
      </c>
      <c r="J331">
        <v>0.05</v>
      </c>
      <c r="K331" t="s">
        <v>51</v>
      </c>
      <c r="L331" s="1">
        <v>46152</v>
      </c>
      <c r="M331" s="1">
        <v>46153</v>
      </c>
      <c r="N331" t="s">
        <v>106</v>
      </c>
      <c r="P331">
        <v>329</v>
      </c>
      <c r="Q331" t="s">
        <v>240</v>
      </c>
      <c r="R331" t="s">
        <v>75</v>
      </c>
      <c r="S331" t="s">
        <v>55</v>
      </c>
      <c r="T331" t="s">
        <v>56</v>
      </c>
      <c r="U331" t="s">
        <v>243</v>
      </c>
      <c r="V331" t="s">
        <v>71</v>
      </c>
      <c r="W331" t="s">
        <v>72</v>
      </c>
      <c r="X331">
        <v>1200000</v>
      </c>
      <c r="Y331">
        <v>1620000</v>
      </c>
      <c r="Z331" t="s">
        <v>56</v>
      </c>
      <c r="AA331" t="s">
        <v>73</v>
      </c>
      <c r="AB331" t="s">
        <v>88</v>
      </c>
      <c r="AC331" t="s">
        <v>83</v>
      </c>
      <c r="AD331" t="s">
        <v>76</v>
      </c>
      <c r="AE331">
        <v>4617000</v>
      </c>
      <c r="AF331">
        <v>3600000</v>
      </c>
      <c r="AG331">
        <v>1017000</v>
      </c>
      <c r="AH331" t="b">
        <v>1</v>
      </c>
      <c r="AI331" t="b">
        <v>1</v>
      </c>
      <c r="AJ331">
        <v>0</v>
      </c>
      <c r="AK331">
        <v>1</v>
      </c>
      <c r="AL331" t="b">
        <v>1</v>
      </c>
      <c r="AM331" t="b">
        <v>0</v>
      </c>
      <c r="AN331">
        <v>4617000</v>
      </c>
      <c r="AO331">
        <v>1017000</v>
      </c>
      <c r="AP331">
        <v>3</v>
      </c>
      <c r="AQ331">
        <v>3</v>
      </c>
      <c r="AR331">
        <v>0</v>
      </c>
      <c r="AS331">
        <v>1</v>
      </c>
      <c r="AT331">
        <v>0</v>
      </c>
      <c r="AU331">
        <v>1017000</v>
      </c>
    </row>
    <row r="332" spans="1:47" x14ac:dyDescent="0.3">
      <c r="A332" s="1">
        <v>46033</v>
      </c>
      <c r="B332" t="s">
        <v>524</v>
      </c>
      <c r="C332">
        <v>1</v>
      </c>
      <c r="D332" t="s">
        <v>223</v>
      </c>
      <c r="E332" t="s">
        <v>113</v>
      </c>
      <c r="F332" t="s">
        <v>50</v>
      </c>
      <c r="G332">
        <v>35</v>
      </c>
      <c r="H332">
        <v>33</v>
      </c>
      <c r="I332">
        <v>648000</v>
      </c>
      <c r="J332">
        <v>0.05</v>
      </c>
      <c r="K332" t="s">
        <v>51</v>
      </c>
      <c r="L332" s="1">
        <v>46036</v>
      </c>
      <c r="M332" s="1">
        <v>46038</v>
      </c>
      <c r="N332" t="s">
        <v>106</v>
      </c>
      <c r="P332">
        <v>330</v>
      </c>
      <c r="Q332" t="s">
        <v>224</v>
      </c>
      <c r="R332" t="s">
        <v>83</v>
      </c>
      <c r="S332" t="s">
        <v>55</v>
      </c>
      <c r="T332" t="s">
        <v>56</v>
      </c>
      <c r="U332" t="s">
        <v>116</v>
      </c>
      <c r="V332" t="s">
        <v>71</v>
      </c>
      <c r="W332" t="s">
        <v>72</v>
      </c>
      <c r="X332">
        <v>480000</v>
      </c>
      <c r="Y332">
        <v>648000</v>
      </c>
      <c r="Z332" t="s">
        <v>56</v>
      </c>
      <c r="AA332" t="s">
        <v>60</v>
      </c>
      <c r="AB332" t="s">
        <v>61</v>
      </c>
      <c r="AC332" t="s">
        <v>54</v>
      </c>
      <c r="AD332" t="s">
        <v>94</v>
      </c>
      <c r="AE332">
        <v>20314800</v>
      </c>
      <c r="AF332">
        <v>15840000</v>
      </c>
      <c r="AG332">
        <v>4474800</v>
      </c>
      <c r="AH332" t="b">
        <v>1</v>
      </c>
      <c r="AI332" t="b">
        <v>1</v>
      </c>
      <c r="AJ332">
        <v>0</v>
      </c>
      <c r="AK332">
        <v>2</v>
      </c>
      <c r="AL332" t="b">
        <v>1</v>
      </c>
      <c r="AM332" t="b">
        <v>0</v>
      </c>
      <c r="AN332">
        <v>20314800</v>
      </c>
      <c r="AO332">
        <v>4474800</v>
      </c>
      <c r="AP332">
        <v>33</v>
      </c>
      <c r="AQ332">
        <v>35</v>
      </c>
      <c r="AR332">
        <v>0</v>
      </c>
      <c r="AS332">
        <v>1</v>
      </c>
      <c r="AT332">
        <v>0</v>
      </c>
      <c r="AU332">
        <v>4474800</v>
      </c>
    </row>
    <row r="333" spans="1:47" x14ac:dyDescent="0.3">
      <c r="A333" s="1">
        <v>46155</v>
      </c>
      <c r="B333" t="s">
        <v>535</v>
      </c>
      <c r="C333">
        <v>4</v>
      </c>
      <c r="D333" t="s">
        <v>146</v>
      </c>
      <c r="E333" t="s">
        <v>210</v>
      </c>
      <c r="F333" t="s">
        <v>66</v>
      </c>
      <c r="G333">
        <v>23</v>
      </c>
      <c r="H333">
        <v>11</v>
      </c>
      <c r="I333">
        <v>234000</v>
      </c>
      <c r="J333">
        <v>0.05</v>
      </c>
      <c r="K333" t="s">
        <v>98</v>
      </c>
      <c r="L333" s="1">
        <v>46160</v>
      </c>
      <c r="N333" t="s">
        <v>106</v>
      </c>
      <c r="P333">
        <v>331</v>
      </c>
      <c r="Q333" t="s">
        <v>148</v>
      </c>
      <c r="R333" t="s">
        <v>75</v>
      </c>
      <c r="S333" t="s">
        <v>69</v>
      </c>
      <c r="T333" t="s">
        <v>56</v>
      </c>
      <c r="U333" t="s">
        <v>212</v>
      </c>
      <c r="V333" t="s">
        <v>58</v>
      </c>
      <c r="W333" t="s">
        <v>59</v>
      </c>
      <c r="X333">
        <v>180000</v>
      </c>
      <c r="Y333">
        <v>234000</v>
      </c>
      <c r="Z333" t="s">
        <v>56</v>
      </c>
      <c r="AA333" t="s">
        <v>60</v>
      </c>
      <c r="AB333" t="s">
        <v>74</v>
      </c>
      <c r="AC333" t="s">
        <v>75</v>
      </c>
      <c r="AD333" t="s">
        <v>76</v>
      </c>
      <c r="AE333">
        <v>2445300</v>
      </c>
      <c r="AF333">
        <v>1980000</v>
      </c>
      <c r="AG333">
        <v>465300</v>
      </c>
      <c r="AH333" t="b">
        <v>1</v>
      </c>
      <c r="AI333" t="b">
        <v>0</v>
      </c>
      <c r="AL333" t="b">
        <v>1</v>
      </c>
      <c r="AM333" t="b">
        <v>0</v>
      </c>
      <c r="AN333">
        <v>2445300</v>
      </c>
      <c r="AO333">
        <v>465300</v>
      </c>
      <c r="AP333">
        <v>11</v>
      </c>
      <c r="AQ333">
        <v>23</v>
      </c>
      <c r="AR333">
        <v>0</v>
      </c>
      <c r="AS333">
        <v>0</v>
      </c>
      <c r="AT333">
        <v>0</v>
      </c>
      <c r="AU333">
        <v>465300</v>
      </c>
    </row>
    <row r="334" spans="1:47" x14ac:dyDescent="0.3">
      <c r="A334" s="1">
        <v>46151</v>
      </c>
      <c r="B334" t="s">
        <v>536</v>
      </c>
      <c r="C334">
        <v>4</v>
      </c>
      <c r="D334" t="s">
        <v>344</v>
      </c>
      <c r="E334" t="s">
        <v>203</v>
      </c>
      <c r="F334" t="s">
        <v>114</v>
      </c>
      <c r="G334">
        <v>33</v>
      </c>
      <c r="H334">
        <v>33</v>
      </c>
      <c r="I334">
        <v>2124000</v>
      </c>
      <c r="J334">
        <v>0</v>
      </c>
      <c r="K334" t="s">
        <v>51</v>
      </c>
      <c r="L334" s="1">
        <v>46153</v>
      </c>
      <c r="M334" s="1">
        <v>46153</v>
      </c>
      <c r="N334" t="s">
        <v>106</v>
      </c>
      <c r="P334">
        <v>332</v>
      </c>
      <c r="Q334" t="s">
        <v>345</v>
      </c>
      <c r="R334" t="s">
        <v>54</v>
      </c>
      <c r="S334" t="s">
        <v>84</v>
      </c>
      <c r="T334" t="s">
        <v>56</v>
      </c>
      <c r="U334" t="s">
        <v>204</v>
      </c>
      <c r="V334" t="s">
        <v>109</v>
      </c>
      <c r="W334" t="s">
        <v>110</v>
      </c>
      <c r="X334">
        <v>1800000</v>
      </c>
      <c r="Y334">
        <v>2124000</v>
      </c>
      <c r="Z334" t="s">
        <v>56</v>
      </c>
      <c r="AA334" t="s">
        <v>73</v>
      </c>
      <c r="AB334" t="s">
        <v>117</v>
      </c>
      <c r="AC334" t="s">
        <v>83</v>
      </c>
      <c r="AD334" t="s">
        <v>76</v>
      </c>
      <c r="AE334">
        <v>70092000</v>
      </c>
      <c r="AF334">
        <v>59400000</v>
      </c>
      <c r="AG334">
        <v>10692000</v>
      </c>
      <c r="AH334" t="b">
        <v>1</v>
      </c>
      <c r="AI334" t="b">
        <v>1</v>
      </c>
      <c r="AJ334">
        <v>1</v>
      </c>
      <c r="AK334">
        <v>0</v>
      </c>
      <c r="AL334" t="b">
        <v>1</v>
      </c>
      <c r="AM334" t="b">
        <v>0</v>
      </c>
      <c r="AN334">
        <v>70092000</v>
      </c>
      <c r="AO334">
        <v>10692000</v>
      </c>
      <c r="AP334">
        <v>33</v>
      </c>
      <c r="AQ334">
        <v>33</v>
      </c>
      <c r="AR334">
        <v>1</v>
      </c>
      <c r="AS334">
        <v>1</v>
      </c>
      <c r="AT334">
        <v>0</v>
      </c>
      <c r="AU334">
        <v>10692000</v>
      </c>
    </row>
    <row r="335" spans="1:47" x14ac:dyDescent="0.3">
      <c r="A335" s="1">
        <v>46192</v>
      </c>
      <c r="B335" t="s">
        <v>537</v>
      </c>
      <c r="C335">
        <v>4</v>
      </c>
      <c r="D335" t="s">
        <v>112</v>
      </c>
      <c r="E335" t="s">
        <v>230</v>
      </c>
      <c r="F335" t="s">
        <v>66</v>
      </c>
      <c r="G335">
        <v>31</v>
      </c>
      <c r="H335">
        <v>31</v>
      </c>
      <c r="I335">
        <v>2196000</v>
      </c>
      <c r="J335">
        <v>0.1</v>
      </c>
      <c r="K335" t="s">
        <v>51</v>
      </c>
      <c r="L335" s="1">
        <v>46197</v>
      </c>
      <c r="M335" s="1">
        <v>46196</v>
      </c>
      <c r="N335" t="s">
        <v>81</v>
      </c>
      <c r="P335">
        <v>333</v>
      </c>
      <c r="Q335" t="s">
        <v>115</v>
      </c>
      <c r="R335" t="s">
        <v>75</v>
      </c>
      <c r="S335" t="s">
        <v>55</v>
      </c>
      <c r="T335" t="s">
        <v>56</v>
      </c>
      <c r="U335" t="s">
        <v>232</v>
      </c>
      <c r="V335" t="s">
        <v>101</v>
      </c>
      <c r="W335" t="s">
        <v>102</v>
      </c>
      <c r="X335">
        <v>1800000</v>
      </c>
      <c r="Y335">
        <v>2196000</v>
      </c>
      <c r="Z335" t="s">
        <v>56</v>
      </c>
      <c r="AA335" t="s">
        <v>129</v>
      </c>
      <c r="AB335" t="s">
        <v>74</v>
      </c>
      <c r="AC335" t="s">
        <v>75</v>
      </c>
      <c r="AD335" t="s">
        <v>118</v>
      </c>
      <c r="AE335">
        <v>61268400</v>
      </c>
      <c r="AF335">
        <v>55800000</v>
      </c>
      <c r="AG335">
        <v>5468400</v>
      </c>
      <c r="AH335" t="b">
        <v>1</v>
      </c>
      <c r="AI335" t="b">
        <v>1</v>
      </c>
      <c r="AJ335">
        <v>1</v>
      </c>
      <c r="AK335">
        <v>-1</v>
      </c>
      <c r="AL335" t="b">
        <v>1</v>
      </c>
      <c r="AM335" t="b">
        <v>0</v>
      </c>
      <c r="AN335">
        <v>61268400</v>
      </c>
      <c r="AO335">
        <v>5468400</v>
      </c>
      <c r="AP335">
        <v>31</v>
      </c>
      <c r="AQ335">
        <v>31</v>
      </c>
      <c r="AR335">
        <v>1</v>
      </c>
      <c r="AS335">
        <v>1</v>
      </c>
      <c r="AT335">
        <v>0</v>
      </c>
      <c r="AU335">
        <v>5468400</v>
      </c>
    </row>
    <row r="336" spans="1:47" x14ac:dyDescent="0.3">
      <c r="A336" s="1">
        <v>46034</v>
      </c>
      <c r="B336" t="s">
        <v>297</v>
      </c>
      <c r="C336">
        <v>2</v>
      </c>
      <c r="D336" t="s">
        <v>277</v>
      </c>
      <c r="E336" t="s">
        <v>142</v>
      </c>
      <c r="F336" t="s">
        <v>114</v>
      </c>
      <c r="G336">
        <v>10</v>
      </c>
      <c r="H336">
        <v>10</v>
      </c>
      <c r="I336">
        <v>413000</v>
      </c>
      <c r="J336">
        <v>0.08</v>
      </c>
      <c r="K336" t="s">
        <v>51</v>
      </c>
      <c r="L336" s="1">
        <v>46039</v>
      </c>
      <c r="M336" s="1">
        <v>46041</v>
      </c>
      <c r="N336" t="s">
        <v>106</v>
      </c>
      <c r="P336">
        <v>334</v>
      </c>
      <c r="Q336" t="s">
        <v>278</v>
      </c>
      <c r="R336" t="s">
        <v>75</v>
      </c>
      <c r="S336" t="s">
        <v>123</v>
      </c>
      <c r="T336" t="s">
        <v>218</v>
      </c>
      <c r="U336" t="s">
        <v>144</v>
      </c>
      <c r="V336" t="s">
        <v>109</v>
      </c>
      <c r="W336" t="s">
        <v>110</v>
      </c>
      <c r="X336">
        <v>350000</v>
      </c>
      <c r="Y336">
        <v>413000</v>
      </c>
      <c r="Z336" t="s">
        <v>56</v>
      </c>
      <c r="AA336" t="s">
        <v>129</v>
      </c>
      <c r="AB336" t="s">
        <v>117</v>
      </c>
      <c r="AC336" t="s">
        <v>83</v>
      </c>
      <c r="AD336" t="s">
        <v>94</v>
      </c>
      <c r="AE336">
        <v>3799600</v>
      </c>
      <c r="AF336">
        <v>3500000</v>
      </c>
      <c r="AG336">
        <v>299600</v>
      </c>
      <c r="AH336" t="b">
        <v>1</v>
      </c>
      <c r="AI336" t="b">
        <v>1</v>
      </c>
      <c r="AJ336">
        <v>0</v>
      </c>
      <c r="AK336">
        <v>2</v>
      </c>
      <c r="AL336" t="b">
        <v>1</v>
      </c>
      <c r="AM336" t="b">
        <v>0</v>
      </c>
      <c r="AN336">
        <v>3799600</v>
      </c>
      <c r="AO336">
        <v>299600</v>
      </c>
      <c r="AP336">
        <v>10</v>
      </c>
      <c r="AQ336">
        <v>10</v>
      </c>
      <c r="AR336">
        <v>0</v>
      </c>
      <c r="AS336">
        <v>1</v>
      </c>
      <c r="AT336">
        <v>0</v>
      </c>
      <c r="AU336">
        <v>299600</v>
      </c>
    </row>
    <row r="337" spans="1:47" x14ac:dyDescent="0.3">
      <c r="A337" s="1">
        <v>46192</v>
      </c>
      <c r="B337" t="s">
        <v>480</v>
      </c>
      <c r="C337">
        <v>1</v>
      </c>
      <c r="D337" t="s">
        <v>141</v>
      </c>
      <c r="E337" t="s">
        <v>160</v>
      </c>
      <c r="F337" t="s">
        <v>66</v>
      </c>
      <c r="G337">
        <v>31</v>
      </c>
      <c r="H337">
        <v>29</v>
      </c>
      <c r="I337">
        <v>1125000</v>
      </c>
      <c r="J337">
        <v>0</v>
      </c>
      <c r="K337" t="s">
        <v>51</v>
      </c>
      <c r="L337" s="1">
        <v>46199</v>
      </c>
      <c r="M337" s="1">
        <v>46206</v>
      </c>
      <c r="N337" t="s">
        <v>81</v>
      </c>
      <c r="P337">
        <v>335</v>
      </c>
      <c r="Q337" t="s">
        <v>143</v>
      </c>
      <c r="R337" t="s">
        <v>75</v>
      </c>
      <c r="S337" t="s">
        <v>55</v>
      </c>
      <c r="T337" t="s">
        <v>56</v>
      </c>
      <c r="U337" t="s">
        <v>161</v>
      </c>
      <c r="V337" t="s">
        <v>86</v>
      </c>
      <c r="W337" t="s">
        <v>87</v>
      </c>
      <c r="X337">
        <v>900000</v>
      </c>
      <c r="Y337">
        <v>1125000</v>
      </c>
      <c r="Z337" t="s">
        <v>56</v>
      </c>
      <c r="AA337" t="s">
        <v>60</v>
      </c>
      <c r="AB337" t="s">
        <v>74</v>
      </c>
      <c r="AC337" t="s">
        <v>75</v>
      </c>
      <c r="AD337" t="s">
        <v>118</v>
      </c>
      <c r="AE337">
        <v>32625000</v>
      </c>
      <c r="AF337">
        <v>26100000</v>
      </c>
      <c r="AG337">
        <v>6525000</v>
      </c>
      <c r="AH337" t="b">
        <v>1</v>
      </c>
      <c r="AI337" t="b">
        <v>1</v>
      </c>
      <c r="AJ337">
        <v>0</v>
      </c>
      <c r="AK337">
        <v>7</v>
      </c>
      <c r="AL337" t="b">
        <v>1</v>
      </c>
      <c r="AM337" t="b">
        <v>0</v>
      </c>
      <c r="AN337">
        <v>32625000</v>
      </c>
      <c r="AO337">
        <v>6525000</v>
      </c>
      <c r="AP337">
        <v>29</v>
      </c>
      <c r="AQ337">
        <v>31</v>
      </c>
      <c r="AR337">
        <v>0</v>
      </c>
      <c r="AS337">
        <v>1</v>
      </c>
      <c r="AT337">
        <v>0</v>
      </c>
      <c r="AU337">
        <v>6525000</v>
      </c>
    </row>
    <row r="338" spans="1:47" x14ac:dyDescent="0.3">
      <c r="A338" s="1">
        <v>46182</v>
      </c>
      <c r="B338" t="s">
        <v>538</v>
      </c>
      <c r="C338">
        <v>3</v>
      </c>
      <c r="D338" t="s">
        <v>344</v>
      </c>
      <c r="E338" t="s">
        <v>255</v>
      </c>
      <c r="F338" t="s">
        <v>66</v>
      </c>
      <c r="G338">
        <v>5</v>
      </c>
      <c r="H338">
        <v>5</v>
      </c>
      <c r="I338">
        <v>234000</v>
      </c>
      <c r="J338">
        <v>0</v>
      </c>
      <c r="K338" t="s">
        <v>51</v>
      </c>
      <c r="L338" s="1">
        <v>46183</v>
      </c>
      <c r="M338" s="1">
        <v>46183</v>
      </c>
      <c r="N338" t="s">
        <v>67</v>
      </c>
      <c r="P338">
        <v>336</v>
      </c>
      <c r="Q338" t="s">
        <v>345</v>
      </c>
      <c r="R338" t="s">
        <v>54</v>
      </c>
      <c r="S338" t="s">
        <v>84</v>
      </c>
      <c r="T338" t="s">
        <v>56</v>
      </c>
      <c r="U338" t="s">
        <v>257</v>
      </c>
      <c r="V338" t="s">
        <v>58</v>
      </c>
      <c r="W338" t="s">
        <v>59</v>
      </c>
      <c r="X338">
        <v>180000</v>
      </c>
      <c r="Y338">
        <v>234000</v>
      </c>
      <c r="Z338" t="s">
        <v>56</v>
      </c>
      <c r="AA338" t="s">
        <v>60</v>
      </c>
      <c r="AB338" t="s">
        <v>74</v>
      </c>
      <c r="AC338" t="s">
        <v>75</v>
      </c>
      <c r="AD338" t="s">
        <v>118</v>
      </c>
      <c r="AE338">
        <v>1170000</v>
      </c>
      <c r="AF338">
        <v>900000</v>
      </c>
      <c r="AG338">
        <v>270000</v>
      </c>
      <c r="AH338" t="b">
        <v>1</v>
      </c>
      <c r="AI338" t="b">
        <v>1</v>
      </c>
      <c r="AJ338">
        <v>1</v>
      </c>
      <c r="AK338">
        <v>0</v>
      </c>
      <c r="AL338" t="b">
        <v>1</v>
      </c>
      <c r="AM338" t="b">
        <v>0</v>
      </c>
      <c r="AN338">
        <v>1170000</v>
      </c>
      <c r="AO338">
        <v>270000</v>
      </c>
      <c r="AP338">
        <v>5</v>
      </c>
      <c r="AQ338">
        <v>5</v>
      </c>
      <c r="AR338">
        <v>1</v>
      </c>
      <c r="AS338">
        <v>1</v>
      </c>
      <c r="AT338">
        <v>0</v>
      </c>
      <c r="AU338">
        <v>270000</v>
      </c>
    </row>
    <row r="339" spans="1:47" x14ac:dyDescent="0.3">
      <c r="A339" s="1">
        <v>46061</v>
      </c>
      <c r="B339" t="s">
        <v>375</v>
      </c>
      <c r="C339">
        <v>2</v>
      </c>
      <c r="D339" t="s">
        <v>215</v>
      </c>
      <c r="E339" t="s">
        <v>105</v>
      </c>
      <c r="F339" t="s">
        <v>114</v>
      </c>
      <c r="G339">
        <v>6</v>
      </c>
      <c r="H339">
        <v>5</v>
      </c>
      <c r="I339">
        <v>212000</v>
      </c>
      <c r="J339">
        <v>0.08</v>
      </c>
      <c r="K339" t="s">
        <v>51</v>
      </c>
      <c r="L339" s="1">
        <v>46062</v>
      </c>
      <c r="M339" s="1">
        <v>46069</v>
      </c>
      <c r="N339" t="s">
        <v>67</v>
      </c>
      <c r="P339">
        <v>337</v>
      </c>
      <c r="Q339" t="s">
        <v>217</v>
      </c>
      <c r="R339" t="s">
        <v>54</v>
      </c>
      <c r="S339" t="s">
        <v>69</v>
      </c>
      <c r="T339" t="s">
        <v>218</v>
      </c>
      <c r="U339" t="s">
        <v>108</v>
      </c>
      <c r="V339" t="s">
        <v>109</v>
      </c>
      <c r="W339" t="s">
        <v>110</v>
      </c>
      <c r="X339">
        <v>180000</v>
      </c>
      <c r="Y339">
        <v>212000</v>
      </c>
      <c r="Z339" t="s">
        <v>56</v>
      </c>
      <c r="AA339" t="s">
        <v>73</v>
      </c>
      <c r="AB339" t="s">
        <v>117</v>
      </c>
      <c r="AC339" t="s">
        <v>83</v>
      </c>
      <c r="AD339" t="s">
        <v>158</v>
      </c>
      <c r="AE339">
        <v>975200</v>
      </c>
      <c r="AF339">
        <v>900000</v>
      </c>
      <c r="AG339">
        <v>75200</v>
      </c>
      <c r="AH339" t="b">
        <v>1</v>
      </c>
      <c r="AI339" t="b">
        <v>1</v>
      </c>
      <c r="AJ339">
        <v>0</v>
      </c>
      <c r="AK339">
        <v>7</v>
      </c>
      <c r="AL339" t="b">
        <v>1</v>
      </c>
      <c r="AM339" t="b">
        <v>0</v>
      </c>
      <c r="AN339">
        <v>975200</v>
      </c>
      <c r="AO339">
        <v>75200</v>
      </c>
      <c r="AP339">
        <v>5</v>
      </c>
      <c r="AQ339">
        <v>6</v>
      </c>
      <c r="AR339">
        <v>0</v>
      </c>
      <c r="AS339">
        <v>1</v>
      </c>
      <c r="AT339">
        <v>0</v>
      </c>
      <c r="AU339">
        <v>75200</v>
      </c>
    </row>
    <row r="340" spans="1:47" x14ac:dyDescent="0.3">
      <c r="A340" s="1">
        <v>46156</v>
      </c>
      <c r="B340" t="s">
        <v>539</v>
      </c>
      <c r="C340">
        <v>3</v>
      </c>
      <c r="D340" t="s">
        <v>90</v>
      </c>
      <c r="E340" t="s">
        <v>210</v>
      </c>
      <c r="F340" t="s">
        <v>66</v>
      </c>
      <c r="G340">
        <v>15</v>
      </c>
      <c r="H340">
        <v>0</v>
      </c>
      <c r="I340">
        <v>234000</v>
      </c>
      <c r="J340">
        <v>0.05</v>
      </c>
      <c r="K340" t="s">
        <v>127</v>
      </c>
      <c r="L340" s="1">
        <v>46161</v>
      </c>
      <c r="N340" t="s">
        <v>52</v>
      </c>
      <c r="P340">
        <v>338</v>
      </c>
      <c r="Q340" t="s">
        <v>92</v>
      </c>
      <c r="R340" t="s">
        <v>75</v>
      </c>
      <c r="S340" t="s">
        <v>84</v>
      </c>
      <c r="T340" t="s">
        <v>56</v>
      </c>
      <c r="U340" t="s">
        <v>212</v>
      </c>
      <c r="V340" t="s">
        <v>58</v>
      </c>
      <c r="W340" t="s">
        <v>59</v>
      </c>
      <c r="X340">
        <v>180000</v>
      </c>
      <c r="Y340">
        <v>234000</v>
      </c>
      <c r="Z340" t="s">
        <v>56</v>
      </c>
      <c r="AA340" t="s">
        <v>60</v>
      </c>
      <c r="AB340" t="s">
        <v>74</v>
      </c>
      <c r="AC340" t="s">
        <v>75</v>
      </c>
      <c r="AD340" t="s">
        <v>76</v>
      </c>
      <c r="AE340">
        <v>0</v>
      </c>
      <c r="AG340">
        <v>0</v>
      </c>
      <c r="AH340" t="b">
        <v>1</v>
      </c>
      <c r="AI340" t="b">
        <v>0</v>
      </c>
      <c r="AL340" t="b">
        <v>0</v>
      </c>
      <c r="AM340" t="b">
        <v>0</v>
      </c>
      <c r="AN340">
        <v>0</v>
      </c>
      <c r="AO340">
        <v>0</v>
      </c>
      <c r="AP340">
        <v>0</v>
      </c>
      <c r="AQ340">
        <v>0</v>
      </c>
      <c r="AR340">
        <v>0</v>
      </c>
      <c r="AS340">
        <v>0</v>
      </c>
      <c r="AT340">
        <v>0</v>
      </c>
      <c r="AU340">
        <v>0</v>
      </c>
    </row>
    <row r="341" spans="1:47" x14ac:dyDescent="0.3">
      <c r="A341" s="1">
        <v>46173</v>
      </c>
      <c r="B341" t="s">
        <v>540</v>
      </c>
      <c r="C341">
        <v>4</v>
      </c>
      <c r="D341" t="s">
        <v>277</v>
      </c>
      <c r="E341" t="s">
        <v>121</v>
      </c>
      <c r="F341" t="s">
        <v>66</v>
      </c>
      <c r="G341">
        <v>15</v>
      </c>
      <c r="H341">
        <v>0</v>
      </c>
      <c r="I341">
        <v>225000</v>
      </c>
      <c r="J341">
        <v>0</v>
      </c>
      <c r="K341" t="s">
        <v>127</v>
      </c>
      <c r="L341" s="1">
        <v>46176</v>
      </c>
      <c r="N341" t="s">
        <v>67</v>
      </c>
      <c r="P341">
        <v>339</v>
      </c>
      <c r="Q341" t="s">
        <v>278</v>
      </c>
      <c r="R341" t="s">
        <v>75</v>
      </c>
      <c r="S341" t="s">
        <v>123</v>
      </c>
      <c r="T341" t="s">
        <v>218</v>
      </c>
      <c r="U341" t="s">
        <v>124</v>
      </c>
      <c r="V341" t="s">
        <v>86</v>
      </c>
      <c r="W341" t="s">
        <v>87</v>
      </c>
      <c r="X341">
        <v>180000</v>
      </c>
      <c r="Y341">
        <v>225000</v>
      </c>
      <c r="Z341" t="s">
        <v>56</v>
      </c>
      <c r="AA341" t="s">
        <v>60</v>
      </c>
      <c r="AB341" t="s">
        <v>74</v>
      </c>
      <c r="AC341" t="s">
        <v>75</v>
      </c>
      <c r="AD341" t="s">
        <v>76</v>
      </c>
      <c r="AE341">
        <v>0</v>
      </c>
      <c r="AG341">
        <v>0</v>
      </c>
      <c r="AH341" t="b">
        <v>1</v>
      </c>
      <c r="AI341" t="b">
        <v>0</v>
      </c>
      <c r="AL341" t="b">
        <v>0</v>
      </c>
      <c r="AM341" t="b">
        <v>0</v>
      </c>
      <c r="AN341">
        <v>0</v>
      </c>
      <c r="AO341">
        <v>0</v>
      </c>
      <c r="AP341">
        <v>0</v>
      </c>
      <c r="AQ341">
        <v>0</v>
      </c>
      <c r="AR341">
        <v>0</v>
      </c>
      <c r="AS341">
        <v>0</v>
      </c>
      <c r="AT341">
        <v>0</v>
      </c>
      <c r="AU341">
        <v>0</v>
      </c>
    </row>
    <row r="342" spans="1:47" x14ac:dyDescent="0.3">
      <c r="A342" s="1">
        <v>46088</v>
      </c>
      <c r="B342" t="s">
        <v>541</v>
      </c>
      <c r="C342">
        <v>1</v>
      </c>
      <c r="D342" t="s">
        <v>171</v>
      </c>
      <c r="E342" t="s">
        <v>210</v>
      </c>
      <c r="F342" t="s">
        <v>114</v>
      </c>
      <c r="G342">
        <v>34</v>
      </c>
      <c r="H342">
        <v>34</v>
      </c>
      <c r="I342">
        <v>234000</v>
      </c>
      <c r="J342">
        <v>0.1</v>
      </c>
      <c r="K342" t="s">
        <v>51</v>
      </c>
      <c r="L342" s="1">
        <v>46091</v>
      </c>
      <c r="M342" s="1">
        <v>46092</v>
      </c>
      <c r="N342" t="s">
        <v>52</v>
      </c>
      <c r="P342">
        <v>340</v>
      </c>
      <c r="Q342" t="s">
        <v>172</v>
      </c>
      <c r="R342" t="s">
        <v>54</v>
      </c>
      <c r="S342" t="s">
        <v>84</v>
      </c>
      <c r="T342" t="s">
        <v>56</v>
      </c>
      <c r="U342" t="s">
        <v>212</v>
      </c>
      <c r="V342" t="s">
        <v>58</v>
      </c>
      <c r="W342" t="s">
        <v>59</v>
      </c>
      <c r="X342">
        <v>180000</v>
      </c>
      <c r="Y342">
        <v>234000</v>
      </c>
      <c r="Z342" t="s">
        <v>56</v>
      </c>
      <c r="AA342" t="s">
        <v>60</v>
      </c>
      <c r="AB342" t="s">
        <v>117</v>
      </c>
      <c r="AC342" t="s">
        <v>83</v>
      </c>
      <c r="AD342" t="s">
        <v>62</v>
      </c>
      <c r="AE342">
        <v>7160400</v>
      </c>
      <c r="AF342">
        <v>6120000</v>
      </c>
      <c r="AG342">
        <v>1040400</v>
      </c>
      <c r="AH342" t="b">
        <v>1</v>
      </c>
      <c r="AI342" t="b">
        <v>1</v>
      </c>
      <c r="AJ342">
        <v>0</v>
      </c>
      <c r="AK342">
        <v>1</v>
      </c>
      <c r="AL342" t="b">
        <v>1</v>
      </c>
      <c r="AM342" t="b">
        <v>0</v>
      </c>
      <c r="AN342">
        <v>7160400</v>
      </c>
      <c r="AO342">
        <v>1040400</v>
      </c>
      <c r="AP342">
        <v>34</v>
      </c>
      <c r="AQ342">
        <v>34</v>
      </c>
      <c r="AR342">
        <v>0</v>
      </c>
      <c r="AS342">
        <v>1</v>
      </c>
      <c r="AT342">
        <v>0</v>
      </c>
      <c r="AU342">
        <v>1040400</v>
      </c>
    </row>
    <row r="343" spans="1:47" x14ac:dyDescent="0.3">
      <c r="A343" s="1">
        <v>46050</v>
      </c>
      <c r="B343" t="s">
        <v>523</v>
      </c>
      <c r="C343">
        <v>4</v>
      </c>
      <c r="D343" t="s">
        <v>120</v>
      </c>
      <c r="E343" t="s">
        <v>121</v>
      </c>
      <c r="F343" t="s">
        <v>50</v>
      </c>
      <c r="G343">
        <v>35</v>
      </c>
      <c r="H343">
        <v>33</v>
      </c>
      <c r="I343">
        <v>225000</v>
      </c>
      <c r="J343">
        <v>0.02</v>
      </c>
      <c r="K343" t="s">
        <v>51</v>
      </c>
      <c r="L343" s="1">
        <v>46060</v>
      </c>
      <c r="M343" s="1">
        <v>46061</v>
      </c>
      <c r="N343" t="s">
        <v>81</v>
      </c>
      <c r="P343">
        <v>341</v>
      </c>
      <c r="Q343" t="s">
        <v>122</v>
      </c>
      <c r="R343" t="s">
        <v>54</v>
      </c>
      <c r="S343" t="s">
        <v>123</v>
      </c>
      <c r="T343" t="s">
        <v>56</v>
      </c>
      <c r="U343" t="s">
        <v>124</v>
      </c>
      <c r="V343" t="s">
        <v>86</v>
      </c>
      <c r="W343" t="s">
        <v>87</v>
      </c>
      <c r="X343">
        <v>180000</v>
      </c>
      <c r="Y343">
        <v>225000</v>
      </c>
      <c r="Z343" t="s">
        <v>56</v>
      </c>
      <c r="AA343" t="s">
        <v>60</v>
      </c>
      <c r="AB343" t="s">
        <v>61</v>
      </c>
      <c r="AC343" t="s">
        <v>54</v>
      </c>
      <c r="AD343" t="s">
        <v>94</v>
      </c>
      <c r="AE343">
        <v>7276500</v>
      </c>
      <c r="AF343">
        <v>5940000</v>
      </c>
      <c r="AG343">
        <v>1336500</v>
      </c>
      <c r="AH343" t="b">
        <v>1</v>
      </c>
      <c r="AI343" t="b">
        <v>1</v>
      </c>
      <c r="AJ343">
        <v>0</v>
      </c>
      <c r="AK343">
        <v>1</v>
      </c>
      <c r="AL343" t="b">
        <v>1</v>
      </c>
      <c r="AM343" t="b">
        <v>0</v>
      </c>
      <c r="AN343">
        <v>7276500</v>
      </c>
      <c r="AO343">
        <v>1336500</v>
      </c>
      <c r="AP343">
        <v>33</v>
      </c>
      <c r="AQ343">
        <v>35</v>
      </c>
      <c r="AR343">
        <v>0</v>
      </c>
      <c r="AS343">
        <v>1</v>
      </c>
      <c r="AT343">
        <v>0</v>
      </c>
      <c r="AU343">
        <v>1336500</v>
      </c>
    </row>
    <row r="344" spans="1:47" x14ac:dyDescent="0.3">
      <c r="A344" s="1">
        <v>46128</v>
      </c>
      <c r="B344" t="s">
        <v>363</v>
      </c>
      <c r="C344">
        <v>4</v>
      </c>
      <c r="D344" t="s">
        <v>269</v>
      </c>
      <c r="E344" t="s">
        <v>242</v>
      </c>
      <c r="F344" t="s">
        <v>66</v>
      </c>
      <c r="G344">
        <v>-10</v>
      </c>
      <c r="H344">
        <v>-10</v>
      </c>
      <c r="I344">
        <v>1620000</v>
      </c>
      <c r="J344">
        <v>0.02</v>
      </c>
      <c r="K344" t="s">
        <v>216</v>
      </c>
      <c r="L344" s="1">
        <v>46138</v>
      </c>
      <c r="M344" s="1">
        <v>46139</v>
      </c>
      <c r="N344" t="s">
        <v>81</v>
      </c>
      <c r="P344">
        <v>342</v>
      </c>
      <c r="Q344" t="s">
        <v>270</v>
      </c>
      <c r="R344" t="s">
        <v>83</v>
      </c>
      <c r="S344" t="s">
        <v>55</v>
      </c>
      <c r="T344" t="s">
        <v>56</v>
      </c>
      <c r="U344" t="s">
        <v>243</v>
      </c>
      <c r="V344" t="s">
        <v>71</v>
      </c>
      <c r="W344" t="s">
        <v>72</v>
      </c>
      <c r="X344">
        <v>1200000</v>
      </c>
      <c r="Y344">
        <v>1620000</v>
      </c>
      <c r="Z344" t="s">
        <v>56</v>
      </c>
      <c r="AA344" t="s">
        <v>73</v>
      </c>
      <c r="AB344" t="s">
        <v>74</v>
      </c>
      <c r="AC344" t="s">
        <v>75</v>
      </c>
      <c r="AD344" t="s">
        <v>130</v>
      </c>
      <c r="AE344">
        <v>-15876000</v>
      </c>
      <c r="AF344">
        <v>-12000000</v>
      </c>
      <c r="AG344">
        <v>-3876000</v>
      </c>
      <c r="AH344" t="b">
        <v>1</v>
      </c>
      <c r="AI344" t="b">
        <v>1</v>
      </c>
      <c r="AJ344">
        <v>0</v>
      </c>
      <c r="AK344">
        <v>1</v>
      </c>
      <c r="AL344" t="b">
        <v>0</v>
      </c>
      <c r="AM344" t="b">
        <v>1</v>
      </c>
      <c r="AN344">
        <v>-15876000</v>
      </c>
      <c r="AO344">
        <v>-3876000</v>
      </c>
      <c r="AP344">
        <v>0</v>
      </c>
      <c r="AQ344">
        <v>0</v>
      </c>
      <c r="AR344">
        <v>0</v>
      </c>
      <c r="AS344">
        <v>1</v>
      </c>
      <c r="AT344">
        <v>-15876000</v>
      </c>
      <c r="AU344">
        <v>-3876000</v>
      </c>
    </row>
    <row r="345" spans="1:47" x14ac:dyDescent="0.3">
      <c r="A345" s="1">
        <v>46191</v>
      </c>
      <c r="B345" t="s">
        <v>187</v>
      </c>
      <c r="C345">
        <v>2</v>
      </c>
      <c r="D345" t="s">
        <v>229</v>
      </c>
      <c r="E345" t="s">
        <v>311</v>
      </c>
      <c r="F345" t="s">
        <v>114</v>
      </c>
      <c r="G345">
        <v>14</v>
      </c>
      <c r="H345">
        <v>12</v>
      </c>
      <c r="I345">
        <v>437000</v>
      </c>
      <c r="J345">
        <v>0.08</v>
      </c>
      <c r="K345" t="s">
        <v>51</v>
      </c>
      <c r="L345" s="1">
        <v>46201</v>
      </c>
      <c r="M345" s="1">
        <v>46204</v>
      </c>
      <c r="N345" t="s">
        <v>106</v>
      </c>
      <c r="P345">
        <v>343</v>
      </c>
      <c r="Q345" t="s">
        <v>231</v>
      </c>
      <c r="R345" t="s">
        <v>83</v>
      </c>
      <c r="S345" t="s">
        <v>123</v>
      </c>
      <c r="T345" t="s">
        <v>56</v>
      </c>
      <c r="U345" t="s">
        <v>312</v>
      </c>
      <c r="V345" t="s">
        <v>86</v>
      </c>
      <c r="W345" t="s">
        <v>87</v>
      </c>
      <c r="X345">
        <v>350000</v>
      </c>
      <c r="Y345">
        <v>437000</v>
      </c>
      <c r="Z345" t="s">
        <v>56</v>
      </c>
      <c r="AA345" t="s">
        <v>60</v>
      </c>
      <c r="AB345" t="s">
        <v>117</v>
      </c>
      <c r="AC345" t="s">
        <v>83</v>
      </c>
      <c r="AD345" t="s">
        <v>118</v>
      </c>
      <c r="AE345">
        <v>4824480</v>
      </c>
      <c r="AF345">
        <v>4200000</v>
      </c>
      <c r="AG345">
        <v>624480</v>
      </c>
      <c r="AH345" t="b">
        <v>1</v>
      </c>
      <c r="AI345" t="b">
        <v>1</v>
      </c>
      <c r="AJ345">
        <v>0</v>
      </c>
      <c r="AK345">
        <v>3</v>
      </c>
      <c r="AL345" t="b">
        <v>1</v>
      </c>
      <c r="AM345" t="b">
        <v>0</v>
      </c>
      <c r="AN345">
        <v>4824480</v>
      </c>
      <c r="AO345">
        <v>624480</v>
      </c>
      <c r="AP345">
        <v>12</v>
      </c>
      <c r="AQ345">
        <v>14</v>
      </c>
      <c r="AR345">
        <v>0</v>
      </c>
      <c r="AS345">
        <v>1</v>
      </c>
      <c r="AT345">
        <v>0</v>
      </c>
      <c r="AU345">
        <v>624480</v>
      </c>
    </row>
    <row r="346" spans="1:47" x14ac:dyDescent="0.3">
      <c r="A346" s="1">
        <v>46064</v>
      </c>
      <c r="B346" t="s">
        <v>542</v>
      </c>
      <c r="C346">
        <v>1</v>
      </c>
      <c r="D346" t="s">
        <v>200</v>
      </c>
      <c r="E346" t="s">
        <v>49</v>
      </c>
      <c r="F346" t="s">
        <v>66</v>
      </c>
      <c r="G346">
        <v>28</v>
      </c>
      <c r="H346">
        <v>28</v>
      </c>
      <c r="I346">
        <v>1170000</v>
      </c>
      <c r="J346">
        <v>0.02</v>
      </c>
      <c r="K346" t="s">
        <v>51</v>
      </c>
      <c r="L346" s="1">
        <v>46065</v>
      </c>
      <c r="M346" s="1">
        <v>46067</v>
      </c>
      <c r="N346" t="s">
        <v>106</v>
      </c>
      <c r="P346">
        <v>344</v>
      </c>
      <c r="Q346" t="s">
        <v>201</v>
      </c>
      <c r="R346" t="s">
        <v>75</v>
      </c>
      <c r="S346" t="s">
        <v>55</v>
      </c>
      <c r="T346" t="s">
        <v>56</v>
      </c>
      <c r="U346" t="s">
        <v>57</v>
      </c>
      <c r="V346" t="s">
        <v>58</v>
      </c>
      <c r="W346" t="s">
        <v>59</v>
      </c>
      <c r="X346">
        <v>900000</v>
      </c>
      <c r="Y346">
        <v>1170000</v>
      </c>
      <c r="Z346" t="s">
        <v>56</v>
      </c>
      <c r="AA346" t="s">
        <v>60</v>
      </c>
      <c r="AB346" t="s">
        <v>74</v>
      </c>
      <c r="AC346" t="s">
        <v>75</v>
      </c>
      <c r="AD346" t="s">
        <v>158</v>
      </c>
      <c r="AE346">
        <v>32104800</v>
      </c>
      <c r="AF346">
        <v>25200000</v>
      </c>
      <c r="AG346">
        <v>6904800</v>
      </c>
      <c r="AH346" t="b">
        <v>1</v>
      </c>
      <c r="AI346" t="b">
        <v>1</v>
      </c>
      <c r="AJ346">
        <v>0</v>
      </c>
      <c r="AK346">
        <v>2</v>
      </c>
      <c r="AL346" t="b">
        <v>1</v>
      </c>
      <c r="AM346" t="b">
        <v>0</v>
      </c>
      <c r="AN346">
        <v>32104800</v>
      </c>
      <c r="AO346">
        <v>6904800</v>
      </c>
      <c r="AP346">
        <v>28</v>
      </c>
      <c r="AQ346">
        <v>28</v>
      </c>
      <c r="AR346">
        <v>0</v>
      </c>
      <c r="AS346">
        <v>1</v>
      </c>
      <c r="AT346">
        <v>0</v>
      </c>
      <c r="AU346">
        <v>6904800</v>
      </c>
    </row>
    <row r="347" spans="1:47" x14ac:dyDescent="0.3">
      <c r="A347" s="1">
        <v>46121</v>
      </c>
      <c r="B347" t="s">
        <v>543</v>
      </c>
      <c r="C347">
        <v>3</v>
      </c>
      <c r="D347" t="s">
        <v>307</v>
      </c>
      <c r="E347" t="s">
        <v>220</v>
      </c>
      <c r="F347" t="s">
        <v>80</v>
      </c>
      <c r="G347">
        <v>32</v>
      </c>
      <c r="H347">
        <v>31</v>
      </c>
      <c r="I347">
        <v>234000</v>
      </c>
      <c r="J347">
        <v>0.08</v>
      </c>
      <c r="K347" t="s">
        <v>51</v>
      </c>
      <c r="L347" s="1">
        <v>46124</v>
      </c>
      <c r="M347" s="1">
        <v>46124</v>
      </c>
      <c r="N347" t="s">
        <v>106</v>
      </c>
      <c r="P347">
        <v>345</v>
      </c>
      <c r="Q347" t="s">
        <v>308</v>
      </c>
      <c r="R347" t="s">
        <v>75</v>
      </c>
      <c r="S347" t="s">
        <v>123</v>
      </c>
      <c r="T347" t="s">
        <v>56</v>
      </c>
      <c r="U347" t="s">
        <v>221</v>
      </c>
      <c r="V347" t="s">
        <v>58</v>
      </c>
      <c r="W347" t="s">
        <v>59</v>
      </c>
      <c r="X347">
        <v>180000</v>
      </c>
      <c r="Y347">
        <v>234000</v>
      </c>
      <c r="Z347" t="s">
        <v>56</v>
      </c>
      <c r="AA347" t="s">
        <v>60</v>
      </c>
      <c r="AB347" t="s">
        <v>88</v>
      </c>
      <c r="AC347" t="s">
        <v>83</v>
      </c>
      <c r="AD347" t="s">
        <v>130</v>
      </c>
      <c r="AE347">
        <v>6673680</v>
      </c>
      <c r="AF347">
        <v>5580000</v>
      </c>
      <c r="AG347">
        <v>1093680</v>
      </c>
      <c r="AH347" t="b">
        <v>1</v>
      </c>
      <c r="AI347" t="b">
        <v>1</v>
      </c>
      <c r="AJ347">
        <v>1</v>
      </c>
      <c r="AK347">
        <v>0</v>
      </c>
      <c r="AL347" t="b">
        <v>1</v>
      </c>
      <c r="AM347" t="b">
        <v>0</v>
      </c>
      <c r="AN347">
        <v>6673680</v>
      </c>
      <c r="AO347">
        <v>1093680</v>
      </c>
      <c r="AP347">
        <v>31</v>
      </c>
      <c r="AQ347">
        <v>32</v>
      </c>
      <c r="AR347">
        <v>1</v>
      </c>
      <c r="AS347">
        <v>1</v>
      </c>
      <c r="AT347">
        <v>0</v>
      </c>
      <c r="AU347">
        <v>1093680</v>
      </c>
    </row>
    <row r="348" spans="1:47" x14ac:dyDescent="0.3">
      <c r="A348" s="1">
        <v>46176</v>
      </c>
      <c r="B348" t="s">
        <v>538</v>
      </c>
      <c r="C348">
        <v>2</v>
      </c>
      <c r="D348" t="s">
        <v>262</v>
      </c>
      <c r="E348" t="s">
        <v>311</v>
      </c>
      <c r="F348" t="s">
        <v>114</v>
      </c>
      <c r="G348">
        <v>24</v>
      </c>
      <c r="H348">
        <v>24</v>
      </c>
      <c r="I348">
        <v>437000</v>
      </c>
      <c r="J348">
        <v>0</v>
      </c>
      <c r="K348" t="s">
        <v>51</v>
      </c>
      <c r="L348" s="1">
        <v>46179</v>
      </c>
      <c r="M348" s="1">
        <v>46186</v>
      </c>
      <c r="N348" t="s">
        <v>67</v>
      </c>
      <c r="P348">
        <v>346</v>
      </c>
      <c r="Q348" t="s">
        <v>263</v>
      </c>
      <c r="R348" t="s">
        <v>83</v>
      </c>
      <c r="S348" t="s">
        <v>55</v>
      </c>
      <c r="T348" t="s">
        <v>56</v>
      </c>
      <c r="U348" t="s">
        <v>312</v>
      </c>
      <c r="V348" t="s">
        <v>86</v>
      </c>
      <c r="W348" t="s">
        <v>87</v>
      </c>
      <c r="X348">
        <v>350000</v>
      </c>
      <c r="Y348">
        <v>437000</v>
      </c>
      <c r="Z348" t="s">
        <v>56</v>
      </c>
      <c r="AA348" t="s">
        <v>60</v>
      </c>
      <c r="AB348" t="s">
        <v>117</v>
      </c>
      <c r="AC348" t="s">
        <v>83</v>
      </c>
      <c r="AD348" t="s">
        <v>118</v>
      </c>
      <c r="AE348">
        <v>10488000</v>
      </c>
      <c r="AF348">
        <v>8400000</v>
      </c>
      <c r="AG348">
        <v>2088000</v>
      </c>
      <c r="AH348" t="b">
        <v>1</v>
      </c>
      <c r="AI348" t="b">
        <v>1</v>
      </c>
      <c r="AJ348">
        <v>0</v>
      </c>
      <c r="AK348">
        <v>7</v>
      </c>
      <c r="AL348" t="b">
        <v>1</v>
      </c>
      <c r="AM348" t="b">
        <v>0</v>
      </c>
      <c r="AN348">
        <v>10488000</v>
      </c>
      <c r="AO348">
        <v>2088000</v>
      </c>
      <c r="AP348">
        <v>24</v>
      </c>
      <c r="AQ348">
        <v>24</v>
      </c>
      <c r="AR348">
        <v>0</v>
      </c>
      <c r="AS348">
        <v>1</v>
      </c>
      <c r="AT348">
        <v>0</v>
      </c>
      <c r="AU348">
        <v>2088000</v>
      </c>
    </row>
    <row r="349" spans="1:47" x14ac:dyDescent="0.3">
      <c r="A349" s="1">
        <v>46113</v>
      </c>
      <c r="B349" t="s">
        <v>544</v>
      </c>
      <c r="C349">
        <v>4</v>
      </c>
      <c r="D349" t="s">
        <v>120</v>
      </c>
      <c r="E349" t="s">
        <v>147</v>
      </c>
      <c r="F349" t="s">
        <v>114</v>
      </c>
      <c r="G349">
        <v>5</v>
      </c>
      <c r="H349">
        <v>0</v>
      </c>
      <c r="I349">
        <v>614000</v>
      </c>
      <c r="J349">
        <v>0.08</v>
      </c>
      <c r="K349" t="s">
        <v>127</v>
      </c>
      <c r="L349" s="1">
        <v>46116</v>
      </c>
      <c r="N349" t="s">
        <v>52</v>
      </c>
      <c r="P349">
        <v>347</v>
      </c>
      <c r="Q349" t="s">
        <v>122</v>
      </c>
      <c r="R349" t="s">
        <v>54</v>
      </c>
      <c r="S349" t="s">
        <v>123</v>
      </c>
      <c r="T349" t="s">
        <v>56</v>
      </c>
      <c r="U349" t="s">
        <v>149</v>
      </c>
      <c r="V349" t="s">
        <v>138</v>
      </c>
      <c r="W349" t="s">
        <v>139</v>
      </c>
      <c r="X349">
        <v>480000</v>
      </c>
      <c r="Y349">
        <v>614000</v>
      </c>
      <c r="Z349" t="s">
        <v>56</v>
      </c>
      <c r="AA349" t="s">
        <v>129</v>
      </c>
      <c r="AB349" t="s">
        <v>117</v>
      </c>
      <c r="AC349" t="s">
        <v>83</v>
      </c>
      <c r="AD349" t="s">
        <v>130</v>
      </c>
      <c r="AE349">
        <v>0</v>
      </c>
      <c r="AG349">
        <v>0</v>
      </c>
      <c r="AH349" t="b">
        <v>1</v>
      </c>
      <c r="AI349" t="b">
        <v>0</v>
      </c>
      <c r="AL349" t="b">
        <v>0</v>
      </c>
      <c r="AM349" t="b">
        <v>0</v>
      </c>
      <c r="AN349">
        <v>0</v>
      </c>
      <c r="AO349">
        <v>0</v>
      </c>
      <c r="AP349">
        <v>0</v>
      </c>
      <c r="AQ349">
        <v>0</v>
      </c>
      <c r="AR349">
        <v>0</v>
      </c>
      <c r="AS349">
        <v>0</v>
      </c>
      <c r="AT349">
        <v>0</v>
      </c>
      <c r="AU349">
        <v>0</v>
      </c>
    </row>
    <row r="350" spans="1:47" x14ac:dyDescent="0.3">
      <c r="A350" s="1">
        <v>46111</v>
      </c>
      <c r="B350" t="s">
        <v>545</v>
      </c>
      <c r="C350">
        <v>2</v>
      </c>
      <c r="D350" t="s">
        <v>307</v>
      </c>
      <c r="E350" t="s">
        <v>147</v>
      </c>
      <c r="F350" t="s">
        <v>66</v>
      </c>
      <c r="G350">
        <v>26</v>
      </c>
      <c r="H350">
        <v>26</v>
      </c>
      <c r="I350">
        <v>614000</v>
      </c>
      <c r="J350">
        <v>0.05</v>
      </c>
      <c r="K350" t="s">
        <v>51</v>
      </c>
      <c r="L350" s="1">
        <v>46118</v>
      </c>
      <c r="M350" s="1">
        <v>46117</v>
      </c>
      <c r="N350" t="s">
        <v>106</v>
      </c>
      <c r="P350">
        <v>348</v>
      </c>
      <c r="Q350" t="s">
        <v>308</v>
      </c>
      <c r="R350" t="s">
        <v>75</v>
      </c>
      <c r="S350" t="s">
        <v>123</v>
      </c>
      <c r="T350" t="s">
        <v>56</v>
      </c>
      <c r="U350" t="s">
        <v>149</v>
      </c>
      <c r="V350" t="s">
        <v>138</v>
      </c>
      <c r="W350" t="s">
        <v>139</v>
      </c>
      <c r="X350">
        <v>480000</v>
      </c>
      <c r="Y350">
        <v>614000</v>
      </c>
      <c r="Z350" t="s">
        <v>56</v>
      </c>
      <c r="AA350" t="s">
        <v>129</v>
      </c>
      <c r="AB350" t="s">
        <v>74</v>
      </c>
      <c r="AC350" t="s">
        <v>75</v>
      </c>
      <c r="AD350" t="s">
        <v>62</v>
      </c>
      <c r="AE350">
        <v>15165800</v>
      </c>
      <c r="AF350">
        <v>12480000</v>
      </c>
      <c r="AG350">
        <v>2685800</v>
      </c>
      <c r="AH350" t="b">
        <v>1</v>
      </c>
      <c r="AI350" t="b">
        <v>1</v>
      </c>
      <c r="AJ350">
        <v>1</v>
      </c>
      <c r="AK350">
        <v>-1</v>
      </c>
      <c r="AL350" t="b">
        <v>1</v>
      </c>
      <c r="AM350" t="b">
        <v>0</v>
      </c>
      <c r="AN350">
        <v>15165800</v>
      </c>
      <c r="AO350">
        <v>2685800</v>
      </c>
      <c r="AP350">
        <v>26</v>
      </c>
      <c r="AQ350">
        <v>26</v>
      </c>
      <c r="AR350">
        <v>1</v>
      </c>
      <c r="AS350">
        <v>1</v>
      </c>
      <c r="AT350">
        <v>0</v>
      </c>
      <c r="AU350">
        <v>2685800</v>
      </c>
    </row>
    <row r="351" spans="1:47" x14ac:dyDescent="0.3">
      <c r="A351" s="1">
        <v>46151</v>
      </c>
      <c r="B351" t="s">
        <v>546</v>
      </c>
      <c r="C351">
        <v>3</v>
      </c>
      <c r="D351" t="s">
        <v>78</v>
      </c>
      <c r="E351" t="s">
        <v>142</v>
      </c>
      <c r="F351" t="s">
        <v>50</v>
      </c>
      <c r="G351">
        <v>35</v>
      </c>
      <c r="H351">
        <v>16</v>
      </c>
      <c r="I351">
        <v>413000</v>
      </c>
      <c r="J351">
        <v>0.1</v>
      </c>
      <c r="K351" t="s">
        <v>98</v>
      </c>
      <c r="L351" s="1">
        <v>46156</v>
      </c>
      <c r="N351" t="s">
        <v>67</v>
      </c>
      <c r="P351">
        <v>349</v>
      </c>
      <c r="Q351" t="s">
        <v>82</v>
      </c>
      <c r="R351" t="s">
        <v>83</v>
      </c>
      <c r="S351" t="s">
        <v>84</v>
      </c>
      <c r="T351" t="s">
        <v>56</v>
      </c>
      <c r="U351" t="s">
        <v>144</v>
      </c>
      <c r="V351" t="s">
        <v>109</v>
      </c>
      <c r="W351" t="s">
        <v>110</v>
      </c>
      <c r="X351">
        <v>350000</v>
      </c>
      <c r="Y351">
        <v>413000</v>
      </c>
      <c r="Z351" t="s">
        <v>56</v>
      </c>
      <c r="AA351" t="s">
        <v>129</v>
      </c>
      <c r="AB351" t="s">
        <v>61</v>
      </c>
      <c r="AC351" t="s">
        <v>54</v>
      </c>
      <c r="AD351" t="s">
        <v>76</v>
      </c>
      <c r="AE351">
        <v>5947200</v>
      </c>
      <c r="AF351">
        <v>5600000</v>
      </c>
      <c r="AG351">
        <v>347200</v>
      </c>
      <c r="AH351" t="b">
        <v>1</v>
      </c>
      <c r="AI351" t="b">
        <v>0</v>
      </c>
      <c r="AL351" t="b">
        <v>1</v>
      </c>
      <c r="AM351" t="b">
        <v>0</v>
      </c>
      <c r="AN351">
        <v>5947200</v>
      </c>
      <c r="AO351">
        <v>347200</v>
      </c>
      <c r="AP351">
        <v>16</v>
      </c>
      <c r="AQ351">
        <v>35</v>
      </c>
      <c r="AR351">
        <v>0</v>
      </c>
      <c r="AS351">
        <v>0</v>
      </c>
      <c r="AT351">
        <v>0</v>
      </c>
      <c r="AU351">
        <v>347200</v>
      </c>
    </row>
    <row r="352" spans="1:47" x14ac:dyDescent="0.3">
      <c r="A352" s="1">
        <v>46167</v>
      </c>
      <c r="B352" t="s">
        <v>547</v>
      </c>
      <c r="C352">
        <v>2</v>
      </c>
      <c r="D352" t="s">
        <v>112</v>
      </c>
      <c r="E352" t="s">
        <v>206</v>
      </c>
      <c r="F352" t="s">
        <v>66</v>
      </c>
      <c r="G352">
        <v>2</v>
      </c>
      <c r="H352">
        <v>2</v>
      </c>
      <c r="I352">
        <v>648000</v>
      </c>
      <c r="J352">
        <v>0.05</v>
      </c>
      <c r="K352" t="s">
        <v>51</v>
      </c>
      <c r="L352" s="1">
        <v>46177</v>
      </c>
      <c r="M352" s="1">
        <v>46184</v>
      </c>
      <c r="N352" t="s">
        <v>81</v>
      </c>
      <c r="P352">
        <v>350</v>
      </c>
      <c r="Q352" t="s">
        <v>115</v>
      </c>
      <c r="R352" t="s">
        <v>75</v>
      </c>
      <c r="S352" t="s">
        <v>55</v>
      </c>
      <c r="T352" t="s">
        <v>56</v>
      </c>
      <c r="U352" t="s">
        <v>207</v>
      </c>
      <c r="V352" t="s">
        <v>71</v>
      </c>
      <c r="W352" t="s">
        <v>72</v>
      </c>
      <c r="X352">
        <v>480000</v>
      </c>
      <c r="Y352">
        <v>648000</v>
      </c>
      <c r="Z352" t="s">
        <v>56</v>
      </c>
      <c r="AA352" t="s">
        <v>73</v>
      </c>
      <c r="AB352" t="s">
        <v>74</v>
      </c>
      <c r="AC352" t="s">
        <v>75</v>
      </c>
      <c r="AD352" t="s">
        <v>76</v>
      </c>
      <c r="AE352">
        <v>1231200</v>
      </c>
      <c r="AF352">
        <v>960000</v>
      </c>
      <c r="AG352">
        <v>271200</v>
      </c>
      <c r="AH352" t="b">
        <v>1</v>
      </c>
      <c r="AI352" t="b">
        <v>1</v>
      </c>
      <c r="AJ352">
        <v>0</v>
      </c>
      <c r="AK352">
        <v>7</v>
      </c>
      <c r="AL352" t="b">
        <v>1</v>
      </c>
      <c r="AM352" t="b">
        <v>0</v>
      </c>
      <c r="AN352">
        <v>1231200</v>
      </c>
      <c r="AO352">
        <v>271200</v>
      </c>
      <c r="AP352">
        <v>2</v>
      </c>
      <c r="AQ352">
        <v>2</v>
      </c>
      <c r="AR352">
        <v>0</v>
      </c>
      <c r="AS352">
        <v>1</v>
      </c>
      <c r="AT352">
        <v>0</v>
      </c>
      <c r="AU352">
        <v>271200</v>
      </c>
    </row>
    <row r="353" spans="1:47" x14ac:dyDescent="0.3">
      <c r="A353" s="1">
        <v>46196</v>
      </c>
      <c r="B353" t="s">
        <v>537</v>
      </c>
      <c r="C353">
        <v>3</v>
      </c>
      <c r="D353" t="s">
        <v>96</v>
      </c>
      <c r="E353" t="s">
        <v>91</v>
      </c>
      <c r="F353" t="s">
        <v>114</v>
      </c>
      <c r="G353">
        <v>17</v>
      </c>
      <c r="H353">
        <v>17</v>
      </c>
      <c r="I353">
        <v>2250000</v>
      </c>
      <c r="J353">
        <v>0.1</v>
      </c>
      <c r="K353" t="s">
        <v>51</v>
      </c>
      <c r="L353" s="1">
        <v>46206</v>
      </c>
      <c r="M353" s="1">
        <v>46213</v>
      </c>
      <c r="N353" t="s">
        <v>52</v>
      </c>
      <c r="P353">
        <v>351</v>
      </c>
      <c r="Q353" t="s">
        <v>99</v>
      </c>
      <c r="R353" t="s">
        <v>75</v>
      </c>
      <c r="S353" t="s">
        <v>55</v>
      </c>
      <c r="T353" t="s">
        <v>56</v>
      </c>
      <c r="U353" t="s">
        <v>93</v>
      </c>
      <c r="V353" t="s">
        <v>86</v>
      </c>
      <c r="W353" t="s">
        <v>87</v>
      </c>
      <c r="X353">
        <v>1800000</v>
      </c>
      <c r="Y353">
        <v>2250000</v>
      </c>
      <c r="Z353" t="s">
        <v>56</v>
      </c>
      <c r="AA353" t="s">
        <v>60</v>
      </c>
      <c r="AB353" t="s">
        <v>117</v>
      </c>
      <c r="AC353" t="s">
        <v>83</v>
      </c>
      <c r="AD353" t="s">
        <v>118</v>
      </c>
      <c r="AE353">
        <v>34425000</v>
      </c>
      <c r="AF353">
        <v>30600000</v>
      </c>
      <c r="AG353">
        <v>3825000</v>
      </c>
      <c r="AH353" t="b">
        <v>1</v>
      </c>
      <c r="AI353" t="b">
        <v>1</v>
      </c>
      <c r="AJ353">
        <v>0</v>
      </c>
      <c r="AK353">
        <v>7</v>
      </c>
      <c r="AL353" t="b">
        <v>1</v>
      </c>
      <c r="AM353" t="b">
        <v>0</v>
      </c>
      <c r="AN353">
        <v>34425000</v>
      </c>
      <c r="AO353">
        <v>3825000</v>
      </c>
      <c r="AP353">
        <v>17</v>
      </c>
      <c r="AQ353">
        <v>17</v>
      </c>
      <c r="AR353">
        <v>0</v>
      </c>
      <c r="AS353">
        <v>1</v>
      </c>
      <c r="AT353">
        <v>0</v>
      </c>
      <c r="AU353">
        <v>3825000</v>
      </c>
    </row>
    <row r="354" spans="1:47" x14ac:dyDescent="0.3">
      <c r="A354" s="1">
        <v>46042</v>
      </c>
      <c r="B354" t="s">
        <v>548</v>
      </c>
      <c r="C354">
        <v>2</v>
      </c>
      <c r="D354" t="s">
        <v>215</v>
      </c>
      <c r="E354" t="s">
        <v>132</v>
      </c>
      <c r="F354" t="s">
        <v>50</v>
      </c>
      <c r="G354">
        <v>14</v>
      </c>
      <c r="H354">
        <v>0</v>
      </c>
      <c r="I354">
        <v>413000</v>
      </c>
      <c r="J354">
        <v>0.02</v>
      </c>
      <c r="K354" t="s">
        <v>127</v>
      </c>
      <c r="L354" s="1">
        <v>46044</v>
      </c>
      <c r="N354" t="s">
        <v>81</v>
      </c>
      <c r="P354">
        <v>352</v>
      </c>
      <c r="Q354" t="s">
        <v>217</v>
      </c>
      <c r="R354" t="s">
        <v>54</v>
      </c>
      <c r="S354" t="s">
        <v>69</v>
      </c>
      <c r="T354" t="s">
        <v>218</v>
      </c>
      <c r="U354" t="s">
        <v>133</v>
      </c>
      <c r="V354" t="s">
        <v>109</v>
      </c>
      <c r="W354" t="s">
        <v>110</v>
      </c>
      <c r="X354">
        <v>350000</v>
      </c>
      <c r="Y354">
        <v>413000</v>
      </c>
      <c r="Z354" t="s">
        <v>134</v>
      </c>
      <c r="AA354" t="s">
        <v>73</v>
      </c>
      <c r="AB354" t="s">
        <v>61</v>
      </c>
      <c r="AC354" t="s">
        <v>54</v>
      </c>
      <c r="AD354" t="s">
        <v>94</v>
      </c>
      <c r="AE354">
        <v>0</v>
      </c>
      <c r="AG354">
        <v>0</v>
      </c>
      <c r="AH354" t="b">
        <v>1</v>
      </c>
      <c r="AI354" t="b">
        <v>0</v>
      </c>
      <c r="AL354" t="b">
        <v>0</v>
      </c>
      <c r="AM354" t="b">
        <v>0</v>
      </c>
      <c r="AN354">
        <v>0</v>
      </c>
      <c r="AO354">
        <v>0</v>
      </c>
      <c r="AP354">
        <v>0</v>
      </c>
      <c r="AQ354">
        <v>0</v>
      </c>
      <c r="AR354">
        <v>0</v>
      </c>
      <c r="AS354">
        <v>0</v>
      </c>
      <c r="AT354">
        <v>0</v>
      </c>
      <c r="AU354">
        <v>0</v>
      </c>
    </row>
    <row r="355" spans="1:47" x14ac:dyDescent="0.3">
      <c r="A355" s="1">
        <v>46150</v>
      </c>
      <c r="B355" t="s">
        <v>549</v>
      </c>
      <c r="C355">
        <v>2</v>
      </c>
      <c r="D355" t="s">
        <v>326</v>
      </c>
      <c r="E355" t="s">
        <v>121</v>
      </c>
      <c r="F355" t="s">
        <v>80</v>
      </c>
      <c r="G355">
        <v>15</v>
      </c>
      <c r="H355">
        <v>14</v>
      </c>
      <c r="I355">
        <v>225000</v>
      </c>
      <c r="J355">
        <v>0.02</v>
      </c>
      <c r="K355" t="s">
        <v>51</v>
      </c>
      <c r="L355" s="1">
        <v>46152</v>
      </c>
      <c r="M355" s="1">
        <v>46159</v>
      </c>
      <c r="N355" t="s">
        <v>106</v>
      </c>
      <c r="P355">
        <v>353</v>
      </c>
      <c r="Q355" t="s">
        <v>327</v>
      </c>
      <c r="R355" t="s">
        <v>54</v>
      </c>
      <c r="S355" t="s">
        <v>69</v>
      </c>
      <c r="T355" t="s">
        <v>56</v>
      </c>
      <c r="U355" t="s">
        <v>124</v>
      </c>
      <c r="V355" t="s">
        <v>86</v>
      </c>
      <c r="W355" t="s">
        <v>87</v>
      </c>
      <c r="X355">
        <v>180000</v>
      </c>
      <c r="Y355">
        <v>225000</v>
      </c>
      <c r="Z355" t="s">
        <v>56</v>
      </c>
      <c r="AA355" t="s">
        <v>60</v>
      </c>
      <c r="AB355" t="s">
        <v>88</v>
      </c>
      <c r="AC355" t="s">
        <v>83</v>
      </c>
      <c r="AD355" t="s">
        <v>76</v>
      </c>
      <c r="AE355">
        <v>3087000</v>
      </c>
      <c r="AF355">
        <v>2520000</v>
      </c>
      <c r="AG355">
        <v>567000</v>
      </c>
      <c r="AH355" t="b">
        <v>1</v>
      </c>
      <c r="AI355" t="b">
        <v>1</v>
      </c>
      <c r="AJ355">
        <v>0</v>
      </c>
      <c r="AK355">
        <v>7</v>
      </c>
      <c r="AL355" t="b">
        <v>1</v>
      </c>
      <c r="AM355" t="b">
        <v>0</v>
      </c>
      <c r="AN355">
        <v>3087000</v>
      </c>
      <c r="AO355">
        <v>567000</v>
      </c>
      <c r="AP355">
        <v>14</v>
      </c>
      <c r="AQ355">
        <v>15</v>
      </c>
      <c r="AR355">
        <v>0</v>
      </c>
      <c r="AS355">
        <v>1</v>
      </c>
      <c r="AT355">
        <v>0</v>
      </c>
      <c r="AU355">
        <v>567000</v>
      </c>
    </row>
    <row r="356" spans="1:47" x14ac:dyDescent="0.3">
      <c r="A356" s="1">
        <v>46053</v>
      </c>
      <c r="B356" t="s">
        <v>550</v>
      </c>
      <c r="C356">
        <v>4</v>
      </c>
      <c r="D356" t="s">
        <v>262</v>
      </c>
      <c r="E356" t="s">
        <v>282</v>
      </c>
      <c r="F356" t="s">
        <v>114</v>
      </c>
      <c r="G356">
        <v>31</v>
      </c>
      <c r="H356">
        <v>31</v>
      </c>
      <c r="I356">
        <v>230000</v>
      </c>
      <c r="J356">
        <v>0.08</v>
      </c>
      <c r="K356" t="s">
        <v>51</v>
      </c>
      <c r="L356" s="1">
        <v>46056</v>
      </c>
      <c r="M356" s="1">
        <v>46057</v>
      </c>
      <c r="N356" t="s">
        <v>81</v>
      </c>
      <c r="P356">
        <v>354</v>
      </c>
      <c r="Q356" t="s">
        <v>263</v>
      </c>
      <c r="R356" t="s">
        <v>83</v>
      </c>
      <c r="S356" t="s">
        <v>55</v>
      </c>
      <c r="T356" t="s">
        <v>56</v>
      </c>
      <c r="U356" t="s">
        <v>283</v>
      </c>
      <c r="V356" t="s">
        <v>138</v>
      </c>
      <c r="W356" t="s">
        <v>139</v>
      </c>
      <c r="X356">
        <v>180000</v>
      </c>
      <c r="Y356">
        <v>230000</v>
      </c>
      <c r="Z356" t="s">
        <v>56</v>
      </c>
      <c r="AA356" t="s">
        <v>129</v>
      </c>
      <c r="AB356" t="s">
        <v>117</v>
      </c>
      <c r="AC356" t="s">
        <v>83</v>
      </c>
      <c r="AD356" t="s">
        <v>94</v>
      </c>
      <c r="AE356">
        <v>6559600</v>
      </c>
      <c r="AF356">
        <v>5580000</v>
      </c>
      <c r="AG356">
        <v>979600</v>
      </c>
      <c r="AH356" t="b">
        <v>1</v>
      </c>
      <c r="AI356" t="b">
        <v>1</v>
      </c>
      <c r="AJ356">
        <v>0</v>
      </c>
      <c r="AK356">
        <v>1</v>
      </c>
      <c r="AL356" t="b">
        <v>1</v>
      </c>
      <c r="AM356" t="b">
        <v>0</v>
      </c>
      <c r="AN356">
        <v>6559600</v>
      </c>
      <c r="AO356">
        <v>979600</v>
      </c>
      <c r="AP356">
        <v>31</v>
      </c>
      <c r="AQ356">
        <v>31</v>
      </c>
      <c r="AR356">
        <v>0</v>
      </c>
      <c r="AS356">
        <v>1</v>
      </c>
      <c r="AT356">
        <v>0</v>
      </c>
      <c r="AU356">
        <v>979600</v>
      </c>
    </row>
    <row r="357" spans="1:47" x14ac:dyDescent="0.3">
      <c r="A357" s="1">
        <v>46153</v>
      </c>
      <c r="B357" t="s">
        <v>551</v>
      </c>
      <c r="C357">
        <v>4</v>
      </c>
      <c r="D357" t="s">
        <v>146</v>
      </c>
      <c r="E357" t="s">
        <v>348</v>
      </c>
      <c r="F357" t="s">
        <v>114</v>
      </c>
      <c r="G357">
        <v>34</v>
      </c>
      <c r="H357">
        <v>30</v>
      </c>
      <c r="I357">
        <v>566000</v>
      </c>
      <c r="J357">
        <v>0.08</v>
      </c>
      <c r="K357" t="s">
        <v>98</v>
      </c>
      <c r="L357" s="1">
        <v>46154</v>
      </c>
      <c r="N357" t="s">
        <v>52</v>
      </c>
      <c r="P357">
        <v>355</v>
      </c>
      <c r="Q357" t="s">
        <v>148</v>
      </c>
      <c r="R357" t="s">
        <v>75</v>
      </c>
      <c r="S357" t="s">
        <v>69</v>
      </c>
      <c r="T357" t="s">
        <v>56</v>
      </c>
      <c r="U357" t="s">
        <v>349</v>
      </c>
      <c r="V357" t="s">
        <v>109</v>
      </c>
      <c r="W357" t="s">
        <v>110</v>
      </c>
      <c r="X357">
        <v>480000</v>
      </c>
      <c r="Y357">
        <v>566000</v>
      </c>
      <c r="Z357" t="s">
        <v>56</v>
      </c>
      <c r="AA357" t="s">
        <v>60</v>
      </c>
      <c r="AB357" t="s">
        <v>117</v>
      </c>
      <c r="AC357" t="s">
        <v>83</v>
      </c>
      <c r="AD357" t="s">
        <v>76</v>
      </c>
      <c r="AE357">
        <v>15621600</v>
      </c>
      <c r="AF357">
        <v>14400000</v>
      </c>
      <c r="AG357">
        <v>1221600</v>
      </c>
      <c r="AH357" t="b">
        <v>1</v>
      </c>
      <c r="AI357" t="b">
        <v>0</v>
      </c>
      <c r="AL357" t="b">
        <v>1</v>
      </c>
      <c r="AM357" t="b">
        <v>0</v>
      </c>
      <c r="AN357">
        <v>15621600</v>
      </c>
      <c r="AO357">
        <v>1221600</v>
      </c>
      <c r="AP357">
        <v>30</v>
      </c>
      <c r="AQ357">
        <v>34</v>
      </c>
      <c r="AR357">
        <v>0</v>
      </c>
      <c r="AS357">
        <v>0</v>
      </c>
      <c r="AT357">
        <v>0</v>
      </c>
      <c r="AU357">
        <v>1221600</v>
      </c>
    </row>
    <row r="358" spans="1:47" x14ac:dyDescent="0.3">
      <c r="A358" s="1">
        <v>46123</v>
      </c>
      <c r="B358" t="s">
        <v>471</v>
      </c>
      <c r="C358">
        <v>4</v>
      </c>
      <c r="D358" t="s">
        <v>78</v>
      </c>
      <c r="E358" t="s">
        <v>210</v>
      </c>
      <c r="F358" t="s">
        <v>66</v>
      </c>
      <c r="G358">
        <v>21</v>
      </c>
      <c r="H358">
        <v>20</v>
      </c>
      <c r="I358">
        <v>234000</v>
      </c>
      <c r="J358">
        <v>0</v>
      </c>
      <c r="K358" t="s">
        <v>51</v>
      </c>
      <c r="L358" s="1">
        <v>46128</v>
      </c>
      <c r="M358" s="1">
        <v>46130</v>
      </c>
      <c r="N358" t="s">
        <v>106</v>
      </c>
      <c r="P358">
        <v>356</v>
      </c>
      <c r="Q358" t="s">
        <v>82</v>
      </c>
      <c r="R358" t="s">
        <v>83</v>
      </c>
      <c r="S358" t="s">
        <v>84</v>
      </c>
      <c r="T358" t="s">
        <v>56</v>
      </c>
      <c r="U358" t="s">
        <v>212</v>
      </c>
      <c r="V358" t="s">
        <v>58</v>
      </c>
      <c r="W358" t="s">
        <v>59</v>
      </c>
      <c r="X358">
        <v>180000</v>
      </c>
      <c r="Y358">
        <v>234000</v>
      </c>
      <c r="Z358" t="s">
        <v>56</v>
      </c>
      <c r="AA358" t="s">
        <v>60</v>
      </c>
      <c r="AB358" t="s">
        <v>74</v>
      </c>
      <c r="AC358" t="s">
        <v>75</v>
      </c>
      <c r="AD358" t="s">
        <v>130</v>
      </c>
      <c r="AE358">
        <v>4680000</v>
      </c>
      <c r="AF358">
        <v>3600000</v>
      </c>
      <c r="AG358">
        <v>1080000</v>
      </c>
      <c r="AH358" t="b">
        <v>1</v>
      </c>
      <c r="AI358" t="b">
        <v>1</v>
      </c>
      <c r="AJ358">
        <v>0</v>
      </c>
      <c r="AK358">
        <v>2</v>
      </c>
      <c r="AL358" t="b">
        <v>1</v>
      </c>
      <c r="AM358" t="b">
        <v>0</v>
      </c>
      <c r="AN358">
        <v>4680000</v>
      </c>
      <c r="AO358">
        <v>1080000</v>
      </c>
      <c r="AP358">
        <v>20</v>
      </c>
      <c r="AQ358">
        <v>21</v>
      </c>
      <c r="AR358">
        <v>0</v>
      </c>
      <c r="AS358">
        <v>1</v>
      </c>
      <c r="AT358">
        <v>0</v>
      </c>
      <c r="AU358">
        <v>1080000</v>
      </c>
    </row>
    <row r="359" spans="1:47" x14ac:dyDescent="0.3">
      <c r="A359" s="1">
        <v>46106</v>
      </c>
      <c r="B359" t="s">
        <v>394</v>
      </c>
      <c r="C359">
        <v>3</v>
      </c>
      <c r="D359" t="s">
        <v>269</v>
      </c>
      <c r="E359" t="s">
        <v>156</v>
      </c>
      <c r="F359" t="s">
        <v>50</v>
      </c>
      <c r="G359">
        <v>16</v>
      </c>
      <c r="H359">
        <v>16</v>
      </c>
      <c r="I359">
        <v>243000</v>
      </c>
      <c r="J359">
        <v>0.02</v>
      </c>
      <c r="K359" t="s">
        <v>51</v>
      </c>
      <c r="L359" s="1">
        <v>46108</v>
      </c>
      <c r="M359" s="1">
        <v>46109</v>
      </c>
      <c r="N359" t="s">
        <v>67</v>
      </c>
      <c r="P359">
        <v>357</v>
      </c>
      <c r="Q359" t="s">
        <v>270</v>
      </c>
      <c r="R359" t="s">
        <v>83</v>
      </c>
      <c r="S359" t="s">
        <v>55</v>
      </c>
      <c r="T359" t="s">
        <v>56</v>
      </c>
      <c r="U359" t="s">
        <v>157</v>
      </c>
      <c r="V359" t="s">
        <v>71</v>
      </c>
      <c r="W359" t="s">
        <v>72</v>
      </c>
      <c r="X359">
        <v>180000</v>
      </c>
      <c r="Y359">
        <v>243000</v>
      </c>
      <c r="Z359" t="s">
        <v>56</v>
      </c>
      <c r="AA359" t="s">
        <v>73</v>
      </c>
      <c r="AB359" t="s">
        <v>61</v>
      </c>
      <c r="AC359" t="s">
        <v>54</v>
      </c>
      <c r="AD359" t="s">
        <v>62</v>
      </c>
      <c r="AE359">
        <v>3810240</v>
      </c>
      <c r="AF359">
        <v>2880000</v>
      </c>
      <c r="AG359">
        <v>930240</v>
      </c>
      <c r="AH359" t="b">
        <v>1</v>
      </c>
      <c r="AI359" t="b">
        <v>1</v>
      </c>
      <c r="AJ359">
        <v>0</v>
      </c>
      <c r="AK359">
        <v>1</v>
      </c>
      <c r="AL359" t="b">
        <v>1</v>
      </c>
      <c r="AM359" t="b">
        <v>0</v>
      </c>
      <c r="AN359">
        <v>3810240</v>
      </c>
      <c r="AO359">
        <v>930240</v>
      </c>
      <c r="AP359">
        <v>16</v>
      </c>
      <c r="AQ359">
        <v>16</v>
      </c>
      <c r="AR359">
        <v>0</v>
      </c>
      <c r="AS359">
        <v>1</v>
      </c>
      <c r="AT359">
        <v>0</v>
      </c>
      <c r="AU359">
        <v>930240</v>
      </c>
    </row>
    <row r="360" spans="1:47" x14ac:dyDescent="0.3">
      <c r="A360" s="1">
        <v>46076</v>
      </c>
      <c r="B360" t="s">
        <v>552</v>
      </c>
      <c r="C360">
        <v>3</v>
      </c>
      <c r="D360" t="s">
        <v>300</v>
      </c>
      <c r="E360" t="s">
        <v>259</v>
      </c>
      <c r="F360" t="s">
        <v>50</v>
      </c>
      <c r="G360">
        <v>29</v>
      </c>
      <c r="H360">
        <v>28</v>
      </c>
      <c r="I360">
        <v>146000</v>
      </c>
      <c r="J360">
        <v>0.1</v>
      </c>
      <c r="K360" t="s">
        <v>51</v>
      </c>
      <c r="L360" s="1">
        <v>46078</v>
      </c>
      <c r="M360" s="1">
        <v>46085</v>
      </c>
      <c r="N360" t="s">
        <v>106</v>
      </c>
      <c r="P360">
        <v>358</v>
      </c>
      <c r="Q360" t="s">
        <v>301</v>
      </c>
      <c r="R360" t="s">
        <v>83</v>
      </c>
      <c r="S360" t="s">
        <v>123</v>
      </c>
      <c r="T360" t="s">
        <v>56</v>
      </c>
      <c r="U360" t="s">
        <v>260</v>
      </c>
      <c r="V360" t="s">
        <v>101</v>
      </c>
      <c r="W360" t="s">
        <v>102</v>
      </c>
      <c r="X360">
        <v>120000</v>
      </c>
      <c r="Y360">
        <v>146000</v>
      </c>
      <c r="Z360" t="s">
        <v>56</v>
      </c>
      <c r="AA360" t="s">
        <v>129</v>
      </c>
      <c r="AB360" t="s">
        <v>61</v>
      </c>
      <c r="AC360" t="s">
        <v>54</v>
      </c>
      <c r="AD360" t="s">
        <v>158</v>
      </c>
      <c r="AE360">
        <v>3679200</v>
      </c>
      <c r="AF360">
        <v>3360000</v>
      </c>
      <c r="AG360">
        <v>319200</v>
      </c>
      <c r="AH360" t="b">
        <v>1</v>
      </c>
      <c r="AI360" t="b">
        <v>1</v>
      </c>
      <c r="AJ360">
        <v>0</v>
      </c>
      <c r="AK360">
        <v>7</v>
      </c>
      <c r="AL360" t="b">
        <v>1</v>
      </c>
      <c r="AM360" t="b">
        <v>0</v>
      </c>
      <c r="AN360">
        <v>3679200</v>
      </c>
      <c r="AO360">
        <v>319200</v>
      </c>
      <c r="AP360">
        <v>28</v>
      </c>
      <c r="AQ360">
        <v>29</v>
      </c>
      <c r="AR360">
        <v>0</v>
      </c>
      <c r="AS360">
        <v>1</v>
      </c>
      <c r="AT360">
        <v>0</v>
      </c>
      <c r="AU360">
        <v>319200</v>
      </c>
    </row>
    <row r="361" spans="1:47" x14ac:dyDescent="0.3">
      <c r="A361" s="1">
        <v>46092</v>
      </c>
      <c r="B361" t="s">
        <v>553</v>
      </c>
      <c r="C361">
        <v>4</v>
      </c>
      <c r="D361" t="s">
        <v>104</v>
      </c>
      <c r="E361" t="s">
        <v>147</v>
      </c>
      <c r="F361" t="s">
        <v>80</v>
      </c>
      <c r="G361">
        <v>10</v>
      </c>
      <c r="H361">
        <v>10</v>
      </c>
      <c r="I361">
        <v>614000</v>
      </c>
      <c r="J361">
        <v>0.05</v>
      </c>
      <c r="K361" t="s">
        <v>51</v>
      </c>
      <c r="L361" s="1">
        <v>46097</v>
      </c>
      <c r="M361" s="1">
        <v>46097</v>
      </c>
      <c r="N361" t="s">
        <v>52</v>
      </c>
      <c r="P361">
        <v>359</v>
      </c>
      <c r="Q361" t="s">
        <v>107</v>
      </c>
      <c r="R361" t="s">
        <v>83</v>
      </c>
      <c r="S361" t="s">
        <v>55</v>
      </c>
      <c r="T361" t="s">
        <v>56</v>
      </c>
      <c r="U361" t="s">
        <v>149</v>
      </c>
      <c r="V361" t="s">
        <v>138</v>
      </c>
      <c r="W361" t="s">
        <v>139</v>
      </c>
      <c r="X361">
        <v>480000</v>
      </c>
      <c r="Y361">
        <v>614000</v>
      </c>
      <c r="Z361" t="s">
        <v>56</v>
      </c>
      <c r="AA361" t="s">
        <v>129</v>
      </c>
      <c r="AB361" t="s">
        <v>88</v>
      </c>
      <c r="AC361" t="s">
        <v>83</v>
      </c>
      <c r="AD361" t="s">
        <v>62</v>
      </c>
      <c r="AE361">
        <v>5833000</v>
      </c>
      <c r="AF361">
        <v>4800000</v>
      </c>
      <c r="AG361">
        <v>1033000</v>
      </c>
      <c r="AH361" t="b">
        <v>1</v>
      </c>
      <c r="AI361" t="b">
        <v>1</v>
      </c>
      <c r="AJ361">
        <v>1</v>
      </c>
      <c r="AK361">
        <v>0</v>
      </c>
      <c r="AL361" t="b">
        <v>1</v>
      </c>
      <c r="AM361" t="b">
        <v>0</v>
      </c>
      <c r="AN361">
        <v>5833000</v>
      </c>
      <c r="AO361">
        <v>1033000</v>
      </c>
      <c r="AP361">
        <v>10</v>
      </c>
      <c r="AQ361">
        <v>10</v>
      </c>
      <c r="AR361">
        <v>1</v>
      </c>
      <c r="AS361">
        <v>1</v>
      </c>
      <c r="AT361">
        <v>0</v>
      </c>
      <c r="AU361">
        <v>1033000</v>
      </c>
    </row>
    <row r="362" spans="1:47" x14ac:dyDescent="0.3">
      <c r="A362" s="1">
        <v>46147</v>
      </c>
      <c r="B362" t="s">
        <v>554</v>
      </c>
      <c r="C362">
        <v>3</v>
      </c>
      <c r="D362" t="s">
        <v>48</v>
      </c>
      <c r="E362" t="s">
        <v>220</v>
      </c>
      <c r="F362" t="s">
        <v>66</v>
      </c>
      <c r="G362">
        <v>7</v>
      </c>
      <c r="H362">
        <v>7</v>
      </c>
      <c r="I362">
        <v>234000</v>
      </c>
      <c r="J362">
        <v>0.02</v>
      </c>
      <c r="K362" t="s">
        <v>51</v>
      </c>
      <c r="L362" s="1">
        <v>46152</v>
      </c>
      <c r="M362" s="1">
        <v>46159</v>
      </c>
      <c r="N362" t="s">
        <v>106</v>
      </c>
      <c r="P362">
        <v>360</v>
      </c>
      <c r="Q362" t="s">
        <v>53</v>
      </c>
      <c r="R362" t="s">
        <v>54</v>
      </c>
      <c r="S362" t="s">
        <v>55</v>
      </c>
      <c r="T362" t="s">
        <v>56</v>
      </c>
      <c r="U362" t="s">
        <v>221</v>
      </c>
      <c r="V362" t="s">
        <v>58</v>
      </c>
      <c r="W362" t="s">
        <v>59</v>
      </c>
      <c r="X362">
        <v>180000</v>
      </c>
      <c r="Y362">
        <v>234000</v>
      </c>
      <c r="Z362" t="s">
        <v>56</v>
      </c>
      <c r="AA362" t="s">
        <v>60</v>
      </c>
      <c r="AB362" t="s">
        <v>74</v>
      </c>
      <c r="AC362" t="s">
        <v>75</v>
      </c>
      <c r="AD362" t="s">
        <v>76</v>
      </c>
      <c r="AE362">
        <v>1605240</v>
      </c>
      <c r="AF362">
        <v>1260000</v>
      </c>
      <c r="AG362">
        <v>345240</v>
      </c>
      <c r="AH362" t="b">
        <v>1</v>
      </c>
      <c r="AI362" t="b">
        <v>1</v>
      </c>
      <c r="AJ362">
        <v>0</v>
      </c>
      <c r="AK362">
        <v>7</v>
      </c>
      <c r="AL362" t="b">
        <v>1</v>
      </c>
      <c r="AM362" t="b">
        <v>0</v>
      </c>
      <c r="AN362">
        <v>1605240</v>
      </c>
      <c r="AO362">
        <v>345240</v>
      </c>
      <c r="AP362">
        <v>7</v>
      </c>
      <c r="AQ362">
        <v>7</v>
      </c>
      <c r="AR362">
        <v>0</v>
      </c>
      <c r="AS362">
        <v>1</v>
      </c>
      <c r="AT362">
        <v>0</v>
      </c>
      <c r="AU362">
        <v>345240</v>
      </c>
    </row>
    <row r="363" spans="1:47" x14ac:dyDescent="0.3">
      <c r="A363" s="1">
        <v>46138</v>
      </c>
      <c r="B363" t="s">
        <v>555</v>
      </c>
      <c r="C363">
        <v>3</v>
      </c>
      <c r="D363" t="s">
        <v>300</v>
      </c>
      <c r="E363" t="s">
        <v>242</v>
      </c>
      <c r="F363" t="s">
        <v>50</v>
      </c>
      <c r="G363">
        <v>23</v>
      </c>
      <c r="H363">
        <v>23</v>
      </c>
      <c r="I363">
        <v>1620000</v>
      </c>
      <c r="J363">
        <v>0.1</v>
      </c>
      <c r="K363" t="s">
        <v>51</v>
      </c>
      <c r="L363" s="1">
        <v>46145</v>
      </c>
      <c r="M363" s="1">
        <v>46145</v>
      </c>
      <c r="N363" t="s">
        <v>81</v>
      </c>
      <c r="P363">
        <v>361</v>
      </c>
      <c r="Q363" t="s">
        <v>301</v>
      </c>
      <c r="R363" t="s">
        <v>83</v>
      </c>
      <c r="S363" t="s">
        <v>123</v>
      </c>
      <c r="T363" t="s">
        <v>56</v>
      </c>
      <c r="U363" t="s">
        <v>243</v>
      </c>
      <c r="V363" t="s">
        <v>71</v>
      </c>
      <c r="W363" t="s">
        <v>72</v>
      </c>
      <c r="X363">
        <v>1200000</v>
      </c>
      <c r="Y363">
        <v>1620000</v>
      </c>
      <c r="Z363" t="s">
        <v>56</v>
      </c>
      <c r="AA363" t="s">
        <v>73</v>
      </c>
      <c r="AB363" t="s">
        <v>61</v>
      </c>
      <c r="AC363" t="s">
        <v>54</v>
      </c>
      <c r="AD363" t="s">
        <v>130</v>
      </c>
      <c r="AE363">
        <v>33534000</v>
      </c>
      <c r="AF363">
        <v>27600000</v>
      </c>
      <c r="AG363">
        <v>5934000</v>
      </c>
      <c r="AH363" t="b">
        <v>1</v>
      </c>
      <c r="AI363" t="b">
        <v>1</v>
      </c>
      <c r="AJ363">
        <v>1</v>
      </c>
      <c r="AK363">
        <v>0</v>
      </c>
      <c r="AL363" t="b">
        <v>1</v>
      </c>
      <c r="AM363" t="b">
        <v>0</v>
      </c>
      <c r="AN363">
        <v>33534000</v>
      </c>
      <c r="AO363">
        <v>5934000</v>
      </c>
      <c r="AP363">
        <v>23</v>
      </c>
      <c r="AQ363">
        <v>23</v>
      </c>
      <c r="AR363">
        <v>1</v>
      </c>
      <c r="AS363">
        <v>1</v>
      </c>
      <c r="AT363">
        <v>0</v>
      </c>
      <c r="AU363">
        <v>5934000</v>
      </c>
    </row>
    <row r="364" spans="1:47" x14ac:dyDescent="0.3">
      <c r="A364" s="1">
        <v>46095</v>
      </c>
      <c r="B364" t="s">
        <v>556</v>
      </c>
      <c r="C364">
        <v>3</v>
      </c>
      <c r="D364" t="s">
        <v>254</v>
      </c>
      <c r="E364" t="s">
        <v>175</v>
      </c>
      <c r="F364" t="s">
        <v>66</v>
      </c>
      <c r="G364">
        <v>6</v>
      </c>
      <c r="H364">
        <v>6</v>
      </c>
      <c r="I364">
        <v>1098000</v>
      </c>
      <c r="J364">
        <v>0.1</v>
      </c>
      <c r="K364" t="s">
        <v>51</v>
      </c>
      <c r="L364" s="1">
        <v>46097</v>
      </c>
      <c r="M364" s="1">
        <v>46104</v>
      </c>
      <c r="N364" t="s">
        <v>81</v>
      </c>
      <c r="P364">
        <v>362</v>
      </c>
      <c r="Q364" t="s">
        <v>256</v>
      </c>
      <c r="R364" t="s">
        <v>83</v>
      </c>
      <c r="S364" t="s">
        <v>69</v>
      </c>
      <c r="T364" t="s">
        <v>56</v>
      </c>
      <c r="U364" t="s">
        <v>177</v>
      </c>
      <c r="V364" t="s">
        <v>101</v>
      </c>
      <c r="W364" t="s">
        <v>102</v>
      </c>
      <c r="X364">
        <v>900000</v>
      </c>
      <c r="Y364">
        <v>1098000</v>
      </c>
      <c r="Z364" t="s">
        <v>56</v>
      </c>
      <c r="AA364" t="s">
        <v>129</v>
      </c>
      <c r="AB364" t="s">
        <v>74</v>
      </c>
      <c r="AC364" t="s">
        <v>75</v>
      </c>
      <c r="AD364" t="s">
        <v>62</v>
      </c>
      <c r="AE364">
        <v>5929200</v>
      </c>
      <c r="AF364">
        <v>5400000</v>
      </c>
      <c r="AG364">
        <v>529200</v>
      </c>
      <c r="AH364" t="b">
        <v>1</v>
      </c>
      <c r="AI364" t="b">
        <v>1</v>
      </c>
      <c r="AJ364">
        <v>0</v>
      </c>
      <c r="AK364">
        <v>7</v>
      </c>
      <c r="AL364" t="b">
        <v>1</v>
      </c>
      <c r="AM364" t="b">
        <v>0</v>
      </c>
      <c r="AN364">
        <v>5929200</v>
      </c>
      <c r="AO364">
        <v>529200</v>
      </c>
      <c r="AP364">
        <v>6</v>
      </c>
      <c r="AQ364">
        <v>6</v>
      </c>
      <c r="AR364">
        <v>0</v>
      </c>
      <c r="AS364">
        <v>1</v>
      </c>
      <c r="AT364">
        <v>0</v>
      </c>
      <c r="AU364">
        <v>529200</v>
      </c>
    </row>
    <row r="365" spans="1:47" x14ac:dyDescent="0.3">
      <c r="A365" s="1">
        <v>46186</v>
      </c>
      <c r="B365" t="s">
        <v>377</v>
      </c>
      <c r="C365">
        <v>4</v>
      </c>
      <c r="D365" t="s">
        <v>262</v>
      </c>
      <c r="E365" t="s">
        <v>259</v>
      </c>
      <c r="F365" t="s">
        <v>114</v>
      </c>
      <c r="G365">
        <v>6</v>
      </c>
      <c r="H365">
        <v>6</v>
      </c>
      <c r="I365">
        <v>146000</v>
      </c>
      <c r="J365">
        <v>0.02</v>
      </c>
      <c r="K365" t="s">
        <v>51</v>
      </c>
      <c r="L365" s="1">
        <v>46196</v>
      </c>
      <c r="M365" s="1">
        <v>46196</v>
      </c>
      <c r="N365" t="s">
        <v>52</v>
      </c>
      <c r="P365">
        <v>363</v>
      </c>
      <c r="Q365" t="s">
        <v>263</v>
      </c>
      <c r="R365" t="s">
        <v>83</v>
      </c>
      <c r="S365" t="s">
        <v>55</v>
      </c>
      <c r="T365" t="s">
        <v>56</v>
      </c>
      <c r="U365" t="s">
        <v>260</v>
      </c>
      <c r="V365" t="s">
        <v>101</v>
      </c>
      <c r="W365" t="s">
        <v>102</v>
      </c>
      <c r="X365">
        <v>120000</v>
      </c>
      <c r="Y365">
        <v>146000</v>
      </c>
      <c r="Z365" t="s">
        <v>56</v>
      </c>
      <c r="AA365" t="s">
        <v>129</v>
      </c>
      <c r="AB365" t="s">
        <v>117</v>
      </c>
      <c r="AC365" t="s">
        <v>83</v>
      </c>
      <c r="AD365" t="s">
        <v>118</v>
      </c>
      <c r="AE365">
        <v>858480</v>
      </c>
      <c r="AF365">
        <v>720000</v>
      </c>
      <c r="AG365">
        <v>138480</v>
      </c>
      <c r="AH365" t="b">
        <v>1</v>
      </c>
      <c r="AI365" t="b">
        <v>1</v>
      </c>
      <c r="AJ365">
        <v>1</v>
      </c>
      <c r="AK365">
        <v>0</v>
      </c>
      <c r="AL365" t="b">
        <v>1</v>
      </c>
      <c r="AM365" t="b">
        <v>0</v>
      </c>
      <c r="AN365">
        <v>858480</v>
      </c>
      <c r="AO365">
        <v>138480</v>
      </c>
      <c r="AP365">
        <v>6</v>
      </c>
      <c r="AQ365">
        <v>6</v>
      </c>
      <c r="AR365">
        <v>1</v>
      </c>
      <c r="AS365">
        <v>1</v>
      </c>
      <c r="AT365">
        <v>0</v>
      </c>
      <c r="AU365">
        <v>138480</v>
      </c>
    </row>
    <row r="366" spans="1:47" x14ac:dyDescent="0.3">
      <c r="A366" s="1">
        <v>46177</v>
      </c>
      <c r="B366" t="s">
        <v>275</v>
      </c>
      <c r="C366">
        <v>3</v>
      </c>
      <c r="D366" t="s">
        <v>229</v>
      </c>
      <c r="E366" t="s">
        <v>242</v>
      </c>
      <c r="F366" t="s">
        <v>66</v>
      </c>
      <c r="G366">
        <v>27</v>
      </c>
      <c r="H366">
        <v>27</v>
      </c>
      <c r="I366">
        <v>1620000</v>
      </c>
      <c r="J366">
        <v>0.1</v>
      </c>
      <c r="K366" t="s">
        <v>51</v>
      </c>
      <c r="L366" s="1">
        <v>46179</v>
      </c>
      <c r="M366" s="1">
        <v>46182</v>
      </c>
      <c r="N366" t="s">
        <v>52</v>
      </c>
      <c r="P366">
        <v>364</v>
      </c>
      <c r="Q366" t="s">
        <v>231</v>
      </c>
      <c r="R366" t="s">
        <v>83</v>
      </c>
      <c r="S366" t="s">
        <v>123</v>
      </c>
      <c r="T366" t="s">
        <v>56</v>
      </c>
      <c r="U366" t="s">
        <v>243</v>
      </c>
      <c r="V366" t="s">
        <v>71</v>
      </c>
      <c r="W366" t="s">
        <v>72</v>
      </c>
      <c r="X366">
        <v>1200000</v>
      </c>
      <c r="Y366">
        <v>1620000</v>
      </c>
      <c r="Z366" t="s">
        <v>56</v>
      </c>
      <c r="AA366" t="s">
        <v>73</v>
      </c>
      <c r="AB366" t="s">
        <v>74</v>
      </c>
      <c r="AC366" t="s">
        <v>75</v>
      </c>
      <c r="AD366" t="s">
        <v>118</v>
      </c>
      <c r="AE366">
        <v>39366000</v>
      </c>
      <c r="AF366">
        <v>32400000</v>
      </c>
      <c r="AG366">
        <v>6966000</v>
      </c>
      <c r="AH366" t="b">
        <v>1</v>
      </c>
      <c r="AI366" t="b">
        <v>1</v>
      </c>
      <c r="AJ366">
        <v>0</v>
      </c>
      <c r="AK366">
        <v>3</v>
      </c>
      <c r="AL366" t="b">
        <v>1</v>
      </c>
      <c r="AM366" t="b">
        <v>0</v>
      </c>
      <c r="AN366">
        <v>39366000</v>
      </c>
      <c r="AO366">
        <v>6966000</v>
      </c>
      <c r="AP366">
        <v>27</v>
      </c>
      <c r="AQ366">
        <v>27</v>
      </c>
      <c r="AR366">
        <v>0</v>
      </c>
      <c r="AS366">
        <v>1</v>
      </c>
      <c r="AT366">
        <v>0</v>
      </c>
      <c r="AU366">
        <v>6966000</v>
      </c>
    </row>
    <row r="367" spans="1:47" x14ac:dyDescent="0.3">
      <c r="A367" s="1">
        <v>46202</v>
      </c>
      <c r="B367" t="s">
        <v>406</v>
      </c>
      <c r="C367">
        <v>2</v>
      </c>
      <c r="D367" t="s">
        <v>344</v>
      </c>
      <c r="E367" t="s">
        <v>259</v>
      </c>
      <c r="F367" t="s">
        <v>114</v>
      </c>
      <c r="G367">
        <v>7</v>
      </c>
      <c r="H367">
        <v>5</v>
      </c>
      <c r="I367">
        <v>146000</v>
      </c>
      <c r="J367">
        <v>0</v>
      </c>
      <c r="K367" t="s">
        <v>51</v>
      </c>
      <c r="L367" s="1">
        <v>46203</v>
      </c>
      <c r="M367" s="1">
        <v>46210</v>
      </c>
      <c r="N367" t="s">
        <v>67</v>
      </c>
      <c r="P367">
        <v>365</v>
      </c>
      <c r="Q367" t="s">
        <v>345</v>
      </c>
      <c r="R367" t="s">
        <v>54</v>
      </c>
      <c r="S367" t="s">
        <v>84</v>
      </c>
      <c r="T367" t="s">
        <v>56</v>
      </c>
      <c r="U367" t="s">
        <v>260</v>
      </c>
      <c r="V367" t="s">
        <v>101</v>
      </c>
      <c r="W367" t="s">
        <v>102</v>
      </c>
      <c r="X367">
        <v>120000</v>
      </c>
      <c r="Y367">
        <v>146000</v>
      </c>
      <c r="Z367" t="s">
        <v>56</v>
      </c>
      <c r="AA367" t="s">
        <v>129</v>
      </c>
      <c r="AB367" t="s">
        <v>117</v>
      </c>
      <c r="AC367" t="s">
        <v>83</v>
      </c>
      <c r="AD367" t="s">
        <v>118</v>
      </c>
      <c r="AE367">
        <v>730000</v>
      </c>
      <c r="AF367">
        <v>600000</v>
      </c>
      <c r="AG367">
        <v>130000</v>
      </c>
      <c r="AH367" t="b">
        <v>1</v>
      </c>
      <c r="AI367" t="b">
        <v>1</v>
      </c>
      <c r="AJ367">
        <v>0</v>
      </c>
      <c r="AK367">
        <v>7</v>
      </c>
      <c r="AL367" t="b">
        <v>1</v>
      </c>
      <c r="AM367" t="b">
        <v>0</v>
      </c>
      <c r="AN367">
        <v>730000</v>
      </c>
      <c r="AO367">
        <v>130000</v>
      </c>
      <c r="AP367">
        <v>5</v>
      </c>
      <c r="AQ367">
        <v>7</v>
      </c>
      <c r="AR367">
        <v>0</v>
      </c>
      <c r="AS367">
        <v>1</v>
      </c>
      <c r="AT367">
        <v>0</v>
      </c>
      <c r="AU367">
        <v>130000</v>
      </c>
    </row>
    <row r="368" spans="1:47" x14ac:dyDescent="0.3">
      <c r="A368" s="1">
        <v>46157</v>
      </c>
      <c r="B368" t="s">
        <v>557</v>
      </c>
      <c r="C368">
        <v>1</v>
      </c>
      <c r="D368" t="s">
        <v>239</v>
      </c>
      <c r="E368" t="s">
        <v>49</v>
      </c>
      <c r="F368" t="s">
        <v>114</v>
      </c>
      <c r="G368">
        <v>25</v>
      </c>
      <c r="H368">
        <v>24</v>
      </c>
      <c r="I368">
        <v>1170000</v>
      </c>
      <c r="J368">
        <v>0.02</v>
      </c>
      <c r="K368" t="s">
        <v>51</v>
      </c>
      <c r="L368" s="1">
        <v>46162</v>
      </c>
      <c r="M368" s="1">
        <v>46165</v>
      </c>
      <c r="N368" t="s">
        <v>81</v>
      </c>
      <c r="P368">
        <v>366</v>
      </c>
      <c r="Q368" t="s">
        <v>240</v>
      </c>
      <c r="R368" t="s">
        <v>75</v>
      </c>
      <c r="S368" t="s">
        <v>55</v>
      </c>
      <c r="T368" t="s">
        <v>56</v>
      </c>
      <c r="U368" t="s">
        <v>57</v>
      </c>
      <c r="V368" t="s">
        <v>58</v>
      </c>
      <c r="W368" t="s">
        <v>59</v>
      </c>
      <c r="X368">
        <v>900000</v>
      </c>
      <c r="Y368">
        <v>1170000</v>
      </c>
      <c r="Z368" t="s">
        <v>56</v>
      </c>
      <c r="AA368" t="s">
        <v>60</v>
      </c>
      <c r="AB368" t="s">
        <v>117</v>
      </c>
      <c r="AC368" t="s">
        <v>83</v>
      </c>
      <c r="AD368" t="s">
        <v>76</v>
      </c>
      <c r="AE368">
        <v>27518400</v>
      </c>
      <c r="AF368">
        <v>21600000</v>
      </c>
      <c r="AG368">
        <v>5918400</v>
      </c>
      <c r="AH368" t="b">
        <v>1</v>
      </c>
      <c r="AI368" t="b">
        <v>1</v>
      </c>
      <c r="AJ368">
        <v>0</v>
      </c>
      <c r="AK368">
        <v>3</v>
      </c>
      <c r="AL368" t="b">
        <v>1</v>
      </c>
      <c r="AM368" t="b">
        <v>0</v>
      </c>
      <c r="AN368">
        <v>27518400</v>
      </c>
      <c r="AO368">
        <v>5918400</v>
      </c>
      <c r="AP368">
        <v>24</v>
      </c>
      <c r="AQ368">
        <v>25</v>
      </c>
      <c r="AR368">
        <v>0</v>
      </c>
      <c r="AS368">
        <v>1</v>
      </c>
      <c r="AT368">
        <v>0</v>
      </c>
      <c r="AU368">
        <v>5918400</v>
      </c>
    </row>
    <row r="369" spans="1:47" x14ac:dyDescent="0.3">
      <c r="A369" s="1">
        <v>46056</v>
      </c>
      <c r="B369" t="s">
        <v>414</v>
      </c>
      <c r="C369">
        <v>2</v>
      </c>
      <c r="D369" t="s">
        <v>333</v>
      </c>
      <c r="E369" t="s">
        <v>105</v>
      </c>
      <c r="F369" t="s">
        <v>50</v>
      </c>
      <c r="G369">
        <v>21</v>
      </c>
      <c r="H369">
        <v>0</v>
      </c>
      <c r="I369">
        <v>212000</v>
      </c>
      <c r="J369">
        <v>0.05</v>
      </c>
      <c r="K369" t="s">
        <v>127</v>
      </c>
      <c r="L369" s="1">
        <v>46063</v>
      </c>
      <c r="N369" t="s">
        <v>52</v>
      </c>
      <c r="P369">
        <v>367</v>
      </c>
      <c r="Q369" t="s">
        <v>334</v>
      </c>
      <c r="R369" t="s">
        <v>75</v>
      </c>
      <c r="S369" t="s">
        <v>123</v>
      </c>
      <c r="T369" t="s">
        <v>56</v>
      </c>
      <c r="U369" t="s">
        <v>108</v>
      </c>
      <c r="V369" t="s">
        <v>109</v>
      </c>
      <c r="W369" t="s">
        <v>110</v>
      </c>
      <c r="X369">
        <v>180000</v>
      </c>
      <c r="Y369">
        <v>212000</v>
      </c>
      <c r="Z369" t="s">
        <v>56</v>
      </c>
      <c r="AA369" t="s">
        <v>73</v>
      </c>
      <c r="AB369" t="s">
        <v>61</v>
      </c>
      <c r="AC369" t="s">
        <v>54</v>
      </c>
      <c r="AD369" t="s">
        <v>158</v>
      </c>
      <c r="AE369">
        <v>0</v>
      </c>
      <c r="AG369">
        <v>0</v>
      </c>
      <c r="AH369" t="b">
        <v>1</v>
      </c>
      <c r="AI369" t="b">
        <v>0</v>
      </c>
      <c r="AL369" t="b">
        <v>0</v>
      </c>
      <c r="AM369" t="b">
        <v>0</v>
      </c>
      <c r="AN369">
        <v>0</v>
      </c>
      <c r="AO369">
        <v>0</v>
      </c>
      <c r="AP369">
        <v>0</v>
      </c>
      <c r="AQ369">
        <v>0</v>
      </c>
      <c r="AR369">
        <v>0</v>
      </c>
      <c r="AS369">
        <v>0</v>
      </c>
      <c r="AT369">
        <v>0</v>
      </c>
      <c r="AU369">
        <v>0</v>
      </c>
    </row>
    <row r="370" spans="1:47" x14ac:dyDescent="0.3">
      <c r="A370" s="1">
        <v>46163</v>
      </c>
      <c r="B370" t="s">
        <v>558</v>
      </c>
      <c r="C370">
        <v>2</v>
      </c>
      <c r="D370" t="s">
        <v>292</v>
      </c>
      <c r="E370" t="s">
        <v>197</v>
      </c>
      <c r="F370" t="s">
        <v>66</v>
      </c>
      <c r="G370">
        <v>28</v>
      </c>
      <c r="H370">
        <v>25</v>
      </c>
      <c r="I370">
        <v>1215000</v>
      </c>
      <c r="J370">
        <v>0.02</v>
      </c>
      <c r="K370" t="s">
        <v>51</v>
      </c>
      <c r="L370" s="1">
        <v>46166</v>
      </c>
      <c r="M370" s="1">
        <v>46167</v>
      </c>
      <c r="N370" t="s">
        <v>81</v>
      </c>
      <c r="P370">
        <v>368</v>
      </c>
      <c r="Q370" t="s">
        <v>293</v>
      </c>
      <c r="R370" t="s">
        <v>83</v>
      </c>
      <c r="S370" t="s">
        <v>69</v>
      </c>
      <c r="T370" t="s">
        <v>56</v>
      </c>
      <c r="U370" t="s">
        <v>198</v>
      </c>
      <c r="V370" t="s">
        <v>71</v>
      </c>
      <c r="W370" t="s">
        <v>72</v>
      </c>
      <c r="X370">
        <v>900000</v>
      </c>
      <c r="Y370">
        <v>1215000</v>
      </c>
      <c r="Z370" t="s">
        <v>56</v>
      </c>
      <c r="AA370" t="s">
        <v>129</v>
      </c>
      <c r="AB370" t="s">
        <v>74</v>
      </c>
      <c r="AC370" t="s">
        <v>75</v>
      </c>
      <c r="AD370" t="s">
        <v>76</v>
      </c>
      <c r="AE370">
        <v>29767500</v>
      </c>
      <c r="AF370">
        <v>22500000</v>
      </c>
      <c r="AG370">
        <v>7267500</v>
      </c>
      <c r="AH370" t="b">
        <v>1</v>
      </c>
      <c r="AI370" t="b">
        <v>1</v>
      </c>
      <c r="AJ370">
        <v>0</v>
      </c>
      <c r="AK370">
        <v>1</v>
      </c>
      <c r="AL370" t="b">
        <v>1</v>
      </c>
      <c r="AM370" t="b">
        <v>0</v>
      </c>
      <c r="AN370">
        <v>29767500</v>
      </c>
      <c r="AO370">
        <v>7267500</v>
      </c>
      <c r="AP370">
        <v>25</v>
      </c>
      <c r="AQ370">
        <v>28</v>
      </c>
      <c r="AR370">
        <v>0</v>
      </c>
      <c r="AS370">
        <v>1</v>
      </c>
      <c r="AT370">
        <v>0</v>
      </c>
      <c r="AU370">
        <v>7267500</v>
      </c>
    </row>
    <row r="371" spans="1:47" x14ac:dyDescent="0.3">
      <c r="A371" s="1">
        <v>46045</v>
      </c>
      <c r="B371" t="s">
        <v>559</v>
      </c>
      <c r="C371">
        <v>3</v>
      </c>
      <c r="D371" t="s">
        <v>300</v>
      </c>
      <c r="E371" t="s">
        <v>167</v>
      </c>
      <c r="F371" t="s">
        <v>50</v>
      </c>
      <c r="G371">
        <v>10</v>
      </c>
      <c r="H371">
        <v>9</v>
      </c>
      <c r="I371">
        <v>1062000</v>
      </c>
      <c r="J371">
        <v>0</v>
      </c>
      <c r="K371" t="s">
        <v>51</v>
      </c>
      <c r="L371" s="1">
        <v>46048</v>
      </c>
      <c r="M371" s="1">
        <v>46048</v>
      </c>
      <c r="N371" t="s">
        <v>67</v>
      </c>
      <c r="P371">
        <v>369</v>
      </c>
      <c r="Q371" t="s">
        <v>301</v>
      </c>
      <c r="R371" t="s">
        <v>83</v>
      </c>
      <c r="S371" t="s">
        <v>123</v>
      </c>
      <c r="T371" t="s">
        <v>56</v>
      </c>
      <c r="U371" t="s">
        <v>169</v>
      </c>
      <c r="V371" t="s">
        <v>109</v>
      </c>
      <c r="W371" t="s">
        <v>110</v>
      </c>
      <c r="X371">
        <v>900000</v>
      </c>
      <c r="Y371">
        <v>1062000</v>
      </c>
      <c r="Z371" t="s">
        <v>56</v>
      </c>
      <c r="AA371" t="s">
        <v>60</v>
      </c>
      <c r="AB371" t="s">
        <v>61</v>
      </c>
      <c r="AC371" t="s">
        <v>54</v>
      </c>
      <c r="AD371" t="s">
        <v>94</v>
      </c>
      <c r="AE371">
        <v>9558000</v>
      </c>
      <c r="AF371">
        <v>8100000</v>
      </c>
      <c r="AG371">
        <v>1458000</v>
      </c>
      <c r="AH371" t="b">
        <v>1</v>
      </c>
      <c r="AI371" t="b">
        <v>1</v>
      </c>
      <c r="AJ371">
        <v>1</v>
      </c>
      <c r="AK371">
        <v>0</v>
      </c>
      <c r="AL371" t="b">
        <v>1</v>
      </c>
      <c r="AM371" t="b">
        <v>0</v>
      </c>
      <c r="AN371">
        <v>9558000</v>
      </c>
      <c r="AO371">
        <v>1458000</v>
      </c>
      <c r="AP371">
        <v>9</v>
      </c>
      <c r="AQ371">
        <v>10</v>
      </c>
      <c r="AR371">
        <v>1</v>
      </c>
      <c r="AS371">
        <v>1</v>
      </c>
      <c r="AT371">
        <v>0</v>
      </c>
      <c r="AU371">
        <v>1458000</v>
      </c>
    </row>
    <row r="372" spans="1:47" x14ac:dyDescent="0.3">
      <c r="A372" s="1">
        <v>46159</v>
      </c>
      <c r="B372" t="s">
        <v>199</v>
      </c>
      <c r="C372">
        <v>4</v>
      </c>
      <c r="D372" t="s">
        <v>215</v>
      </c>
      <c r="E372" t="s">
        <v>378</v>
      </c>
      <c r="F372" t="s">
        <v>114</v>
      </c>
      <c r="G372">
        <v>28</v>
      </c>
      <c r="H372">
        <v>19</v>
      </c>
      <c r="I372">
        <v>793000</v>
      </c>
      <c r="J372">
        <v>0</v>
      </c>
      <c r="K372" t="s">
        <v>98</v>
      </c>
      <c r="L372" s="1">
        <v>46160</v>
      </c>
      <c r="N372" t="s">
        <v>52</v>
      </c>
      <c r="P372">
        <v>370</v>
      </c>
      <c r="Q372" t="s">
        <v>217</v>
      </c>
      <c r="R372" t="s">
        <v>54</v>
      </c>
      <c r="S372" t="s">
        <v>69</v>
      </c>
      <c r="T372" t="s">
        <v>218</v>
      </c>
      <c r="U372" t="s">
        <v>380</v>
      </c>
      <c r="V372" t="s">
        <v>101</v>
      </c>
      <c r="W372" t="s">
        <v>102</v>
      </c>
      <c r="X372">
        <v>650000</v>
      </c>
      <c r="Y372">
        <v>793000</v>
      </c>
      <c r="Z372" t="s">
        <v>56</v>
      </c>
      <c r="AA372" t="s">
        <v>129</v>
      </c>
      <c r="AB372" t="s">
        <v>117</v>
      </c>
      <c r="AC372" t="s">
        <v>83</v>
      </c>
      <c r="AD372" t="s">
        <v>76</v>
      </c>
      <c r="AE372">
        <v>15067000</v>
      </c>
      <c r="AF372">
        <v>12350000</v>
      </c>
      <c r="AG372">
        <v>2717000</v>
      </c>
      <c r="AH372" t="b">
        <v>1</v>
      </c>
      <c r="AI372" t="b">
        <v>0</v>
      </c>
      <c r="AL372" t="b">
        <v>1</v>
      </c>
      <c r="AM372" t="b">
        <v>0</v>
      </c>
      <c r="AN372">
        <v>15067000</v>
      </c>
      <c r="AO372">
        <v>2717000</v>
      </c>
      <c r="AP372">
        <v>19</v>
      </c>
      <c r="AQ372">
        <v>28</v>
      </c>
      <c r="AR372">
        <v>0</v>
      </c>
      <c r="AS372">
        <v>0</v>
      </c>
      <c r="AT372">
        <v>0</v>
      </c>
      <c r="AU372">
        <v>2717000</v>
      </c>
    </row>
    <row r="373" spans="1:47" x14ac:dyDescent="0.3">
      <c r="A373" s="1">
        <v>46071</v>
      </c>
      <c r="B373" t="s">
        <v>560</v>
      </c>
      <c r="C373">
        <v>4</v>
      </c>
      <c r="D373" t="s">
        <v>151</v>
      </c>
      <c r="E373" t="s">
        <v>152</v>
      </c>
      <c r="F373" t="s">
        <v>80</v>
      </c>
      <c r="G373">
        <v>25</v>
      </c>
      <c r="H373">
        <v>7</v>
      </c>
      <c r="I373">
        <v>845000</v>
      </c>
      <c r="J373">
        <v>0.02</v>
      </c>
      <c r="K373" t="s">
        <v>98</v>
      </c>
      <c r="L373" s="1">
        <v>46072</v>
      </c>
      <c r="N373" t="s">
        <v>67</v>
      </c>
      <c r="P373">
        <v>371</v>
      </c>
      <c r="Q373" t="s">
        <v>153</v>
      </c>
      <c r="R373" t="s">
        <v>75</v>
      </c>
      <c r="S373" t="s">
        <v>69</v>
      </c>
      <c r="T373" t="s">
        <v>56</v>
      </c>
      <c r="U373" t="s">
        <v>154</v>
      </c>
      <c r="V373" t="s">
        <v>58</v>
      </c>
      <c r="W373" t="s">
        <v>59</v>
      </c>
      <c r="X373">
        <v>650000</v>
      </c>
      <c r="Y373">
        <v>845000</v>
      </c>
      <c r="Z373" t="s">
        <v>56</v>
      </c>
      <c r="AA373" t="s">
        <v>73</v>
      </c>
      <c r="AB373" t="s">
        <v>88</v>
      </c>
      <c r="AC373" t="s">
        <v>83</v>
      </c>
      <c r="AD373" t="s">
        <v>158</v>
      </c>
      <c r="AE373">
        <v>5796700</v>
      </c>
      <c r="AF373">
        <v>4550000</v>
      </c>
      <c r="AG373">
        <v>1246700</v>
      </c>
      <c r="AH373" t="b">
        <v>1</v>
      </c>
      <c r="AI373" t="b">
        <v>0</v>
      </c>
      <c r="AL373" t="b">
        <v>1</v>
      </c>
      <c r="AM373" t="b">
        <v>0</v>
      </c>
      <c r="AN373">
        <v>5796700</v>
      </c>
      <c r="AO373">
        <v>1246700</v>
      </c>
      <c r="AP373">
        <v>7</v>
      </c>
      <c r="AQ373">
        <v>25</v>
      </c>
      <c r="AR373">
        <v>0</v>
      </c>
      <c r="AS373">
        <v>0</v>
      </c>
      <c r="AT373">
        <v>0</v>
      </c>
      <c r="AU373">
        <v>1246700</v>
      </c>
    </row>
    <row r="374" spans="1:47" x14ac:dyDescent="0.3">
      <c r="A374" s="1">
        <v>46183</v>
      </c>
      <c r="B374" t="s">
        <v>252</v>
      </c>
      <c r="C374">
        <v>3</v>
      </c>
      <c r="D374" t="s">
        <v>163</v>
      </c>
      <c r="E374" t="s">
        <v>189</v>
      </c>
      <c r="F374" t="s">
        <v>50</v>
      </c>
      <c r="G374">
        <v>27</v>
      </c>
      <c r="H374">
        <v>27</v>
      </c>
      <c r="I374">
        <v>312000</v>
      </c>
      <c r="J374">
        <v>0</v>
      </c>
      <c r="K374" t="s">
        <v>51</v>
      </c>
      <c r="L374" s="1">
        <v>46186</v>
      </c>
      <c r="M374" s="1">
        <v>46185</v>
      </c>
      <c r="N374" t="s">
        <v>67</v>
      </c>
      <c r="P374">
        <v>372</v>
      </c>
      <c r="Q374" t="s">
        <v>164</v>
      </c>
      <c r="R374" t="s">
        <v>75</v>
      </c>
      <c r="S374" t="s">
        <v>69</v>
      </c>
      <c r="T374" t="s">
        <v>56</v>
      </c>
      <c r="U374" t="s">
        <v>191</v>
      </c>
      <c r="V374" t="s">
        <v>86</v>
      </c>
      <c r="W374" t="s">
        <v>87</v>
      </c>
      <c r="X374">
        <v>250000</v>
      </c>
      <c r="Y374">
        <v>312000</v>
      </c>
      <c r="Z374" t="s">
        <v>134</v>
      </c>
      <c r="AA374" t="s">
        <v>73</v>
      </c>
      <c r="AB374" t="s">
        <v>61</v>
      </c>
      <c r="AC374" t="s">
        <v>54</v>
      </c>
      <c r="AD374" t="s">
        <v>118</v>
      </c>
      <c r="AE374">
        <v>8424000</v>
      </c>
      <c r="AF374">
        <v>6750000</v>
      </c>
      <c r="AG374">
        <v>1674000</v>
      </c>
      <c r="AH374" t="b">
        <v>1</v>
      </c>
      <c r="AI374" t="b">
        <v>1</v>
      </c>
      <c r="AJ374">
        <v>1</v>
      </c>
      <c r="AK374">
        <v>-1</v>
      </c>
      <c r="AL374" t="b">
        <v>1</v>
      </c>
      <c r="AM374" t="b">
        <v>0</v>
      </c>
      <c r="AN374">
        <v>8424000</v>
      </c>
      <c r="AO374">
        <v>1674000</v>
      </c>
      <c r="AP374">
        <v>27</v>
      </c>
      <c r="AQ374">
        <v>27</v>
      </c>
      <c r="AR374">
        <v>1</v>
      </c>
      <c r="AS374">
        <v>1</v>
      </c>
      <c r="AT374">
        <v>0</v>
      </c>
      <c r="AU374">
        <v>1674000</v>
      </c>
    </row>
    <row r="375" spans="1:47" x14ac:dyDescent="0.3">
      <c r="A375" s="1">
        <v>46181</v>
      </c>
      <c r="B375" t="s">
        <v>561</v>
      </c>
      <c r="C375">
        <v>3</v>
      </c>
      <c r="D375" t="s">
        <v>262</v>
      </c>
      <c r="E375" t="s">
        <v>175</v>
      </c>
      <c r="F375" t="s">
        <v>80</v>
      </c>
      <c r="G375">
        <v>21</v>
      </c>
      <c r="H375">
        <v>20</v>
      </c>
      <c r="I375">
        <v>1098000</v>
      </c>
      <c r="J375">
        <v>0</v>
      </c>
      <c r="K375" t="s">
        <v>51</v>
      </c>
      <c r="L375" s="1">
        <v>46183</v>
      </c>
      <c r="M375" s="1">
        <v>46182</v>
      </c>
      <c r="N375" t="s">
        <v>52</v>
      </c>
      <c r="P375">
        <v>373</v>
      </c>
      <c r="Q375" t="s">
        <v>263</v>
      </c>
      <c r="R375" t="s">
        <v>83</v>
      </c>
      <c r="S375" t="s">
        <v>55</v>
      </c>
      <c r="T375" t="s">
        <v>56</v>
      </c>
      <c r="U375" t="s">
        <v>177</v>
      </c>
      <c r="V375" t="s">
        <v>101</v>
      </c>
      <c r="W375" t="s">
        <v>102</v>
      </c>
      <c r="X375">
        <v>900000</v>
      </c>
      <c r="Y375">
        <v>1098000</v>
      </c>
      <c r="Z375" t="s">
        <v>56</v>
      </c>
      <c r="AA375" t="s">
        <v>129</v>
      </c>
      <c r="AB375" t="s">
        <v>88</v>
      </c>
      <c r="AC375" t="s">
        <v>83</v>
      </c>
      <c r="AD375" t="s">
        <v>118</v>
      </c>
      <c r="AE375">
        <v>21960000</v>
      </c>
      <c r="AF375">
        <v>18000000</v>
      </c>
      <c r="AG375">
        <v>3960000</v>
      </c>
      <c r="AH375" t="b">
        <v>1</v>
      </c>
      <c r="AI375" t="b">
        <v>1</v>
      </c>
      <c r="AJ375">
        <v>1</v>
      </c>
      <c r="AK375">
        <v>-1</v>
      </c>
      <c r="AL375" t="b">
        <v>1</v>
      </c>
      <c r="AM375" t="b">
        <v>0</v>
      </c>
      <c r="AN375">
        <v>21960000</v>
      </c>
      <c r="AO375">
        <v>3960000</v>
      </c>
      <c r="AP375">
        <v>20</v>
      </c>
      <c r="AQ375">
        <v>21</v>
      </c>
      <c r="AR375">
        <v>1</v>
      </c>
      <c r="AS375">
        <v>1</v>
      </c>
      <c r="AT375">
        <v>0</v>
      </c>
      <c r="AU375">
        <v>3960000</v>
      </c>
    </row>
    <row r="376" spans="1:47" x14ac:dyDescent="0.3">
      <c r="A376" s="1">
        <v>46091</v>
      </c>
      <c r="B376" t="s">
        <v>290</v>
      </c>
      <c r="C376">
        <v>4</v>
      </c>
      <c r="D376" t="s">
        <v>171</v>
      </c>
      <c r="E376" t="s">
        <v>203</v>
      </c>
      <c r="F376" t="s">
        <v>114</v>
      </c>
      <c r="G376">
        <v>10</v>
      </c>
      <c r="H376">
        <v>10</v>
      </c>
      <c r="I376">
        <v>2124000</v>
      </c>
      <c r="J376">
        <v>0.05</v>
      </c>
      <c r="K376" t="s">
        <v>51</v>
      </c>
      <c r="L376" s="1">
        <v>46094</v>
      </c>
      <c r="M376" s="1">
        <v>46101</v>
      </c>
      <c r="N376" t="s">
        <v>67</v>
      </c>
      <c r="P376">
        <v>374</v>
      </c>
      <c r="Q376" t="s">
        <v>172</v>
      </c>
      <c r="R376" t="s">
        <v>54</v>
      </c>
      <c r="S376" t="s">
        <v>84</v>
      </c>
      <c r="T376" t="s">
        <v>56</v>
      </c>
      <c r="U376" t="s">
        <v>204</v>
      </c>
      <c r="V376" t="s">
        <v>109</v>
      </c>
      <c r="W376" t="s">
        <v>110</v>
      </c>
      <c r="X376">
        <v>1800000</v>
      </c>
      <c r="Y376">
        <v>2124000</v>
      </c>
      <c r="Z376" t="s">
        <v>56</v>
      </c>
      <c r="AA376" t="s">
        <v>73</v>
      </c>
      <c r="AB376" t="s">
        <v>117</v>
      </c>
      <c r="AC376" t="s">
        <v>83</v>
      </c>
      <c r="AD376" t="s">
        <v>62</v>
      </c>
      <c r="AE376">
        <v>20178000</v>
      </c>
      <c r="AF376">
        <v>18000000</v>
      </c>
      <c r="AG376">
        <v>2178000</v>
      </c>
      <c r="AH376" t="b">
        <v>1</v>
      </c>
      <c r="AI376" t="b">
        <v>1</v>
      </c>
      <c r="AJ376">
        <v>0</v>
      </c>
      <c r="AK376">
        <v>7</v>
      </c>
      <c r="AL376" t="b">
        <v>1</v>
      </c>
      <c r="AM376" t="b">
        <v>0</v>
      </c>
      <c r="AN376">
        <v>20178000</v>
      </c>
      <c r="AO376">
        <v>2178000</v>
      </c>
      <c r="AP376">
        <v>10</v>
      </c>
      <c r="AQ376">
        <v>10</v>
      </c>
      <c r="AR376">
        <v>0</v>
      </c>
      <c r="AS376">
        <v>1</v>
      </c>
      <c r="AT376">
        <v>0</v>
      </c>
      <c r="AU376">
        <v>2178000</v>
      </c>
    </row>
    <row r="377" spans="1:47" x14ac:dyDescent="0.3">
      <c r="A377" s="1">
        <v>46118</v>
      </c>
      <c r="B377" t="s">
        <v>562</v>
      </c>
      <c r="C377">
        <v>1</v>
      </c>
      <c r="D377" t="s">
        <v>112</v>
      </c>
      <c r="E377" t="s">
        <v>65</v>
      </c>
      <c r="F377" t="s">
        <v>80</v>
      </c>
      <c r="G377">
        <v>4</v>
      </c>
      <c r="H377">
        <v>4</v>
      </c>
      <c r="I377">
        <v>2430000</v>
      </c>
      <c r="J377">
        <v>0.08</v>
      </c>
      <c r="K377" t="s">
        <v>51</v>
      </c>
      <c r="L377" s="1">
        <v>46123</v>
      </c>
      <c r="M377" s="1">
        <v>46123</v>
      </c>
      <c r="N377" t="s">
        <v>81</v>
      </c>
      <c r="P377">
        <v>375</v>
      </c>
      <c r="Q377" t="s">
        <v>115</v>
      </c>
      <c r="R377" t="s">
        <v>75</v>
      </c>
      <c r="S377" t="s">
        <v>55</v>
      </c>
      <c r="T377" t="s">
        <v>56</v>
      </c>
      <c r="U377" t="s">
        <v>70</v>
      </c>
      <c r="V377" t="s">
        <v>71</v>
      </c>
      <c r="W377" t="s">
        <v>72</v>
      </c>
      <c r="X377">
        <v>1800000</v>
      </c>
      <c r="Y377">
        <v>2430000</v>
      </c>
      <c r="Z377" t="s">
        <v>56</v>
      </c>
      <c r="AA377" t="s">
        <v>73</v>
      </c>
      <c r="AB377" t="s">
        <v>88</v>
      </c>
      <c r="AC377" t="s">
        <v>83</v>
      </c>
      <c r="AD377" t="s">
        <v>130</v>
      </c>
      <c r="AE377">
        <v>8942400</v>
      </c>
      <c r="AF377">
        <v>7200000</v>
      </c>
      <c r="AG377">
        <v>1742400</v>
      </c>
      <c r="AH377" t="b">
        <v>1</v>
      </c>
      <c r="AI377" t="b">
        <v>1</v>
      </c>
      <c r="AJ377">
        <v>1</v>
      </c>
      <c r="AK377">
        <v>0</v>
      </c>
      <c r="AL377" t="b">
        <v>1</v>
      </c>
      <c r="AM377" t="b">
        <v>0</v>
      </c>
      <c r="AN377">
        <v>8942400</v>
      </c>
      <c r="AO377">
        <v>1742400</v>
      </c>
      <c r="AP377">
        <v>4</v>
      </c>
      <c r="AQ377">
        <v>4</v>
      </c>
      <c r="AR377">
        <v>1</v>
      </c>
      <c r="AS377">
        <v>1</v>
      </c>
      <c r="AT377">
        <v>0</v>
      </c>
      <c r="AU377">
        <v>1742400</v>
      </c>
    </row>
    <row r="378" spans="1:47" x14ac:dyDescent="0.3">
      <c r="A378" s="1">
        <v>46087</v>
      </c>
      <c r="B378" t="s">
        <v>563</v>
      </c>
      <c r="C378">
        <v>1</v>
      </c>
      <c r="D378" t="s">
        <v>78</v>
      </c>
      <c r="E378" t="s">
        <v>152</v>
      </c>
      <c r="F378" t="s">
        <v>66</v>
      </c>
      <c r="G378">
        <v>29</v>
      </c>
      <c r="H378">
        <v>29</v>
      </c>
      <c r="I378">
        <v>845000</v>
      </c>
      <c r="J378">
        <v>0.05</v>
      </c>
      <c r="K378" t="s">
        <v>51</v>
      </c>
      <c r="L378" s="1">
        <v>46097</v>
      </c>
      <c r="M378" s="1">
        <v>46104</v>
      </c>
      <c r="N378" t="s">
        <v>106</v>
      </c>
      <c r="P378">
        <v>376</v>
      </c>
      <c r="Q378" t="s">
        <v>82</v>
      </c>
      <c r="R378" t="s">
        <v>83</v>
      </c>
      <c r="S378" t="s">
        <v>84</v>
      </c>
      <c r="T378" t="s">
        <v>56</v>
      </c>
      <c r="U378" t="s">
        <v>154</v>
      </c>
      <c r="V378" t="s">
        <v>58</v>
      </c>
      <c r="W378" t="s">
        <v>59</v>
      </c>
      <c r="X378">
        <v>650000</v>
      </c>
      <c r="Y378">
        <v>845000</v>
      </c>
      <c r="Z378" t="s">
        <v>56</v>
      </c>
      <c r="AA378" t="s">
        <v>73</v>
      </c>
      <c r="AB378" t="s">
        <v>74</v>
      </c>
      <c r="AC378" t="s">
        <v>75</v>
      </c>
      <c r="AD378" t="s">
        <v>62</v>
      </c>
      <c r="AE378">
        <v>23279750</v>
      </c>
      <c r="AF378">
        <v>18850000</v>
      </c>
      <c r="AG378">
        <v>4429750</v>
      </c>
      <c r="AH378" t="b">
        <v>1</v>
      </c>
      <c r="AI378" t="b">
        <v>1</v>
      </c>
      <c r="AJ378">
        <v>0</v>
      </c>
      <c r="AK378">
        <v>7</v>
      </c>
      <c r="AL378" t="b">
        <v>1</v>
      </c>
      <c r="AM378" t="b">
        <v>0</v>
      </c>
      <c r="AN378">
        <v>23279750</v>
      </c>
      <c r="AO378">
        <v>4429750</v>
      </c>
      <c r="AP378">
        <v>29</v>
      </c>
      <c r="AQ378">
        <v>29</v>
      </c>
      <c r="AR378">
        <v>0</v>
      </c>
      <c r="AS378">
        <v>1</v>
      </c>
      <c r="AT378">
        <v>0</v>
      </c>
      <c r="AU378">
        <v>4429750</v>
      </c>
    </row>
    <row r="379" spans="1:47" x14ac:dyDescent="0.3">
      <c r="A379" s="1">
        <v>46156</v>
      </c>
      <c r="B379" t="s">
        <v>564</v>
      </c>
      <c r="C379">
        <v>4</v>
      </c>
      <c r="D379" t="s">
        <v>104</v>
      </c>
      <c r="E379" t="s">
        <v>378</v>
      </c>
      <c r="F379" t="s">
        <v>50</v>
      </c>
      <c r="G379">
        <v>11</v>
      </c>
      <c r="H379">
        <v>10</v>
      </c>
      <c r="I379">
        <v>793000</v>
      </c>
      <c r="J379">
        <v>0.08</v>
      </c>
      <c r="K379" t="s">
        <v>51</v>
      </c>
      <c r="L379" s="1">
        <v>46163</v>
      </c>
      <c r="M379" s="1">
        <v>46162</v>
      </c>
      <c r="N379" t="s">
        <v>52</v>
      </c>
      <c r="P379">
        <v>377</v>
      </c>
      <c r="Q379" t="s">
        <v>107</v>
      </c>
      <c r="R379" t="s">
        <v>83</v>
      </c>
      <c r="S379" t="s">
        <v>55</v>
      </c>
      <c r="T379" t="s">
        <v>56</v>
      </c>
      <c r="U379" t="s">
        <v>380</v>
      </c>
      <c r="V379" t="s">
        <v>101</v>
      </c>
      <c r="W379" t="s">
        <v>102</v>
      </c>
      <c r="X379">
        <v>650000</v>
      </c>
      <c r="Y379">
        <v>793000</v>
      </c>
      <c r="Z379" t="s">
        <v>56</v>
      </c>
      <c r="AA379" t="s">
        <v>129</v>
      </c>
      <c r="AB379" t="s">
        <v>61</v>
      </c>
      <c r="AC379" t="s">
        <v>54</v>
      </c>
      <c r="AD379" t="s">
        <v>76</v>
      </c>
      <c r="AE379">
        <v>7295600</v>
      </c>
      <c r="AF379">
        <v>6500000</v>
      </c>
      <c r="AG379">
        <v>795600</v>
      </c>
      <c r="AH379" t="b">
        <v>1</v>
      </c>
      <c r="AI379" t="b">
        <v>1</v>
      </c>
      <c r="AJ379">
        <v>1</v>
      </c>
      <c r="AK379">
        <v>-1</v>
      </c>
      <c r="AL379" t="b">
        <v>1</v>
      </c>
      <c r="AM379" t="b">
        <v>0</v>
      </c>
      <c r="AN379">
        <v>7295600</v>
      </c>
      <c r="AO379">
        <v>795600</v>
      </c>
      <c r="AP379">
        <v>10</v>
      </c>
      <c r="AQ379">
        <v>11</v>
      </c>
      <c r="AR379">
        <v>1</v>
      </c>
      <c r="AS379">
        <v>1</v>
      </c>
      <c r="AT379">
        <v>0</v>
      </c>
      <c r="AU379">
        <v>795600</v>
      </c>
    </row>
    <row r="380" spans="1:47" x14ac:dyDescent="0.3">
      <c r="A380" s="1">
        <v>46146</v>
      </c>
      <c r="B380" t="s">
        <v>554</v>
      </c>
      <c r="C380">
        <v>2</v>
      </c>
      <c r="D380" t="s">
        <v>300</v>
      </c>
      <c r="E380" t="s">
        <v>220</v>
      </c>
      <c r="F380" t="s">
        <v>80</v>
      </c>
      <c r="G380">
        <v>8</v>
      </c>
      <c r="H380">
        <v>8</v>
      </c>
      <c r="I380">
        <v>234000</v>
      </c>
      <c r="J380">
        <v>0</v>
      </c>
      <c r="K380" t="s">
        <v>51</v>
      </c>
      <c r="L380" s="1">
        <v>46148</v>
      </c>
      <c r="M380" s="1">
        <v>46155</v>
      </c>
      <c r="N380" t="s">
        <v>52</v>
      </c>
      <c r="P380">
        <v>378</v>
      </c>
      <c r="Q380" t="s">
        <v>301</v>
      </c>
      <c r="R380" t="s">
        <v>83</v>
      </c>
      <c r="S380" t="s">
        <v>123</v>
      </c>
      <c r="T380" t="s">
        <v>56</v>
      </c>
      <c r="U380" t="s">
        <v>221</v>
      </c>
      <c r="V380" t="s">
        <v>58</v>
      </c>
      <c r="W380" t="s">
        <v>59</v>
      </c>
      <c r="X380">
        <v>180000</v>
      </c>
      <c r="Y380">
        <v>234000</v>
      </c>
      <c r="Z380" t="s">
        <v>56</v>
      </c>
      <c r="AA380" t="s">
        <v>60</v>
      </c>
      <c r="AB380" t="s">
        <v>88</v>
      </c>
      <c r="AC380" t="s">
        <v>83</v>
      </c>
      <c r="AD380" t="s">
        <v>76</v>
      </c>
      <c r="AE380">
        <v>1872000</v>
      </c>
      <c r="AF380">
        <v>1440000</v>
      </c>
      <c r="AG380">
        <v>432000</v>
      </c>
      <c r="AH380" t="b">
        <v>1</v>
      </c>
      <c r="AI380" t="b">
        <v>1</v>
      </c>
      <c r="AJ380">
        <v>0</v>
      </c>
      <c r="AK380">
        <v>7</v>
      </c>
      <c r="AL380" t="b">
        <v>1</v>
      </c>
      <c r="AM380" t="b">
        <v>0</v>
      </c>
      <c r="AN380">
        <v>1872000</v>
      </c>
      <c r="AO380">
        <v>432000</v>
      </c>
      <c r="AP380">
        <v>8</v>
      </c>
      <c r="AQ380">
        <v>8</v>
      </c>
      <c r="AR380">
        <v>0</v>
      </c>
      <c r="AS380">
        <v>1</v>
      </c>
      <c r="AT380">
        <v>0</v>
      </c>
      <c r="AU380">
        <v>432000</v>
      </c>
    </row>
    <row r="381" spans="1:47" x14ac:dyDescent="0.3">
      <c r="A381" s="1">
        <v>46172</v>
      </c>
      <c r="B381" t="s">
        <v>565</v>
      </c>
      <c r="C381">
        <v>4</v>
      </c>
      <c r="D381" t="s">
        <v>326</v>
      </c>
      <c r="E381" t="s">
        <v>282</v>
      </c>
      <c r="F381" t="s">
        <v>114</v>
      </c>
      <c r="G381">
        <v>31</v>
      </c>
      <c r="H381">
        <v>31</v>
      </c>
      <c r="I381">
        <v>230000</v>
      </c>
      <c r="J381">
        <v>0</v>
      </c>
      <c r="K381" t="s">
        <v>51</v>
      </c>
      <c r="L381" s="1">
        <v>46174</v>
      </c>
      <c r="M381" s="1">
        <v>46174</v>
      </c>
      <c r="N381" t="s">
        <v>67</v>
      </c>
      <c r="P381">
        <v>379</v>
      </c>
      <c r="Q381" t="s">
        <v>327</v>
      </c>
      <c r="R381" t="s">
        <v>54</v>
      </c>
      <c r="S381" t="s">
        <v>69</v>
      </c>
      <c r="T381" t="s">
        <v>56</v>
      </c>
      <c r="U381" t="s">
        <v>283</v>
      </c>
      <c r="V381" t="s">
        <v>138</v>
      </c>
      <c r="W381" t="s">
        <v>139</v>
      </c>
      <c r="X381">
        <v>180000</v>
      </c>
      <c r="Y381">
        <v>230000</v>
      </c>
      <c r="Z381" t="s">
        <v>56</v>
      </c>
      <c r="AA381" t="s">
        <v>129</v>
      </c>
      <c r="AB381" t="s">
        <v>117</v>
      </c>
      <c r="AC381" t="s">
        <v>83</v>
      </c>
      <c r="AD381" t="s">
        <v>76</v>
      </c>
      <c r="AE381">
        <v>7130000</v>
      </c>
      <c r="AF381">
        <v>5580000</v>
      </c>
      <c r="AG381">
        <v>1550000</v>
      </c>
      <c r="AH381" t="b">
        <v>1</v>
      </c>
      <c r="AI381" t="b">
        <v>1</v>
      </c>
      <c r="AJ381">
        <v>1</v>
      </c>
      <c r="AK381">
        <v>0</v>
      </c>
      <c r="AL381" t="b">
        <v>1</v>
      </c>
      <c r="AM381" t="b">
        <v>0</v>
      </c>
      <c r="AN381">
        <v>7130000</v>
      </c>
      <c r="AO381">
        <v>1550000</v>
      </c>
      <c r="AP381">
        <v>31</v>
      </c>
      <c r="AQ381">
        <v>31</v>
      </c>
      <c r="AR381">
        <v>1</v>
      </c>
      <c r="AS381">
        <v>1</v>
      </c>
      <c r="AT381">
        <v>0</v>
      </c>
      <c r="AU381">
        <v>1550000</v>
      </c>
    </row>
    <row r="382" spans="1:47" x14ac:dyDescent="0.3">
      <c r="A382" s="1">
        <v>46046</v>
      </c>
      <c r="B382" t="s">
        <v>566</v>
      </c>
      <c r="C382">
        <v>1</v>
      </c>
      <c r="D382" t="s">
        <v>64</v>
      </c>
      <c r="E382" t="s">
        <v>91</v>
      </c>
      <c r="F382" t="s">
        <v>80</v>
      </c>
      <c r="G382">
        <v>35</v>
      </c>
      <c r="H382">
        <v>8</v>
      </c>
      <c r="I382">
        <v>2250000</v>
      </c>
      <c r="J382">
        <v>0.05</v>
      </c>
      <c r="K382" t="s">
        <v>98</v>
      </c>
      <c r="L382" s="1">
        <v>46048</v>
      </c>
      <c r="N382" t="s">
        <v>52</v>
      </c>
      <c r="P382">
        <v>380</v>
      </c>
      <c r="Q382" t="s">
        <v>68</v>
      </c>
      <c r="R382" t="s">
        <v>54</v>
      </c>
      <c r="S382" t="s">
        <v>69</v>
      </c>
      <c r="T382" t="s">
        <v>56</v>
      </c>
      <c r="U382" t="s">
        <v>93</v>
      </c>
      <c r="V382" t="s">
        <v>86</v>
      </c>
      <c r="W382" t="s">
        <v>87</v>
      </c>
      <c r="X382">
        <v>1800000</v>
      </c>
      <c r="Y382">
        <v>2250000</v>
      </c>
      <c r="Z382" t="s">
        <v>56</v>
      </c>
      <c r="AA382" t="s">
        <v>60</v>
      </c>
      <c r="AB382" t="s">
        <v>88</v>
      </c>
      <c r="AC382" t="s">
        <v>83</v>
      </c>
      <c r="AD382" t="s">
        <v>94</v>
      </c>
      <c r="AE382">
        <v>17100000</v>
      </c>
      <c r="AF382">
        <v>14400000</v>
      </c>
      <c r="AG382">
        <v>2700000</v>
      </c>
      <c r="AH382" t="b">
        <v>1</v>
      </c>
      <c r="AI382" t="b">
        <v>0</v>
      </c>
      <c r="AL382" t="b">
        <v>1</v>
      </c>
      <c r="AM382" t="b">
        <v>0</v>
      </c>
      <c r="AN382">
        <v>17100000</v>
      </c>
      <c r="AO382">
        <v>2700000</v>
      </c>
      <c r="AP382">
        <v>8</v>
      </c>
      <c r="AQ382">
        <v>35</v>
      </c>
      <c r="AR382">
        <v>0</v>
      </c>
      <c r="AS382">
        <v>0</v>
      </c>
      <c r="AT382">
        <v>0</v>
      </c>
      <c r="AU382">
        <v>2700000</v>
      </c>
    </row>
    <row r="383" spans="1:47" x14ac:dyDescent="0.3">
      <c r="A383" s="1">
        <v>46165</v>
      </c>
      <c r="B383" t="s">
        <v>567</v>
      </c>
      <c r="C383">
        <v>4</v>
      </c>
      <c r="D383" t="s">
        <v>288</v>
      </c>
      <c r="E383" t="s">
        <v>97</v>
      </c>
      <c r="F383" t="s">
        <v>66</v>
      </c>
      <c r="G383">
        <v>23</v>
      </c>
      <c r="H383">
        <v>8</v>
      </c>
      <c r="I383">
        <v>427000</v>
      </c>
      <c r="J383">
        <v>0</v>
      </c>
      <c r="K383" t="s">
        <v>98</v>
      </c>
      <c r="L383" s="1">
        <v>46170</v>
      </c>
      <c r="N383" t="s">
        <v>67</v>
      </c>
      <c r="P383">
        <v>381</v>
      </c>
      <c r="Q383" t="s">
        <v>289</v>
      </c>
      <c r="R383" t="s">
        <v>83</v>
      </c>
      <c r="S383" t="s">
        <v>69</v>
      </c>
      <c r="T383" t="s">
        <v>56</v>
      </c>
      <c r="U383" t="s">
        <v>100</v>
      </c>
      <c r="V383" t="s">
        <v>101</v>
      </c>
      <c r="W383" t="s">
        <v>102</v>
      </c>
      <c r="X383">
        <v>350000</v>
      </c>
      <c r="Y383">
        <v>427000</v>
      </c>
      <c r="Z383" t="s">
        <v>56</v>
      </c>
      <c r="AA383" t="s">
        <v>73</v>
      </c>
      <c r="AB383" t="s">
        <v>74</v>
      </c>
      <c r="AC383" t="s">
        <v>75</v>
      </c>
      <c r="AD383" t="s">
        <v>76</v>
      </c>
      <c r="AE383">
        <v>3416000</v>
      </c>
      <c r="AF383">
        <v>2800000</v>
      </c>
      <c r="AG383">
        <v>616000</v>
      </c>
      <c r="AH383" t="b">
        <v>1</v>
      </c>
      <c r="AI383" t="b">
        <v>0</v>
      </c>
      <c r="AL383" t="b">
        <v>1</v>
      </c>
      <c r="AM383" t="b">
        <v>0</v>
      </c>
      <c r="AN383">
        <v>3416000</v>
      </c>
      <c r="AO383">
        <v>616000</v>
      </c>
      <c r="AP383">
        <v>8</v>
      </c>
      <c r="AQ383">
        <v>23</v>
      </c>
      <c r="AR383">
        <v>0</v>
      </c>
      <c r="AS383">
        <v>0</v>
      </c>
      <c r="AT383">
        <v>0</v>
      </c>
      <c r="AU383">
        <v>616000</v>
      </c>
    </row>
    <row r="384" spans="1:47" x14ac:dyDescent="0.3">
      <c r="A384" s="1">
        <v>46166</v>
      </c>
      <c r="B384" t="s">
        <v>546</v>
      </c>
      <c r="C384">
        <v>4</v>
      </c>
      <c r="D384" t="s">
        <v>288</v>
      </c>
      <c r="E384" t="s">
        <v>197</v>
      </c>
      <c r="F384" t="s">
        <v>50</v>
      </c>
      <c r="G384">
        <v>21</v>
      </c>
      <c r="H384">
        <v>8</v>
      </c>
      <c r="I384">
        <v>1215000</v>
      </c>
      <c r="J384">
        <v>0.08</v>
      </c>
      <c r="K384" t="s">
        <v>98</v>
      </c>
      <c r="L384" s="1">
        <v>46173</v>
      </c>
      <c r="N384" t="s">
        <v>81</v>
      </c>
      <c r="P384">
        <v>382</v>
      </c>
      <c r="Q384" t="s">
        <v>289</v>
      </c>
      <c r="R384" t="s">
        <v>83</v>
      </c>
      <c r="S384" t="s">
        <v>69</v>
      </c>
      <c r="T384" t="s">
        <v>56</v>
      </c>
      <c r="U384" t="s">
        <v>198</v>
      </c>
      <c r="V384" t="s">
        <v>71</v>
      </c>
      <c r="W384" t="s">
        <v>72</v>
      </c>
      <c r="X384">
        <v>900000</v>
      </c>
      <c r="Y384">
        <v>1215000</v>
      </c>
      <c r="Z384" t="s">
        <v>56</v>
      </c>
      <c r="AA384" t="s">
        <v>129</v>
      </c>
      <c r="AB384" t="s">
        <v>61</v>
      </c>
      <c r="AC384" t="s">
        <v>54</v>
      </c>
      <c r="AD384" t="s">
        <v>76</v>
      </c>
      <c r="AE384">
        <v>8942400</v>
      </c>
      <c r="AF384">
        <v>7200000</v>
      </c>
      <c r="AG384">
        <v>1742400</v>
      </c>
      <c r="AH384" t="b">
        <v>1</v>
      </c>
      <c r="AI384" t="b">
        <v>0</v>
      </c>
      <c r="AL384" t="b">
        <v>1</v>
      </c>
      <c r="AM384" t="b">
        <v>0</v>
      </c>
      <c r="AN384">
        <v>8942400</v>
      </c>
      <c r="AO384">
        <v>1742400</v>
      </c>
      <c r="AP384">
        <v>8</v>
      </c>
      <c r="AQ384">
        <v>21</v>
      </c>
      <c r="AR384">
        <v>0</v>
      </c>
      <c r="AS384">
        <v>0</v>
      </c>
      <c r="AT384">
        <v>0</v>
      </c>
      <c r="AU384">
        <v>1742400</v>
      </c>
    </row>
    <row r="385" spans="1:47" x14ac:dyDescent="0.3">
      <c r="A385" s="1">
        <v>46040</v>
      </c>
      <c r="B385" t="s">
        <v>568</v>
      </c>
      <c r="C385">
        <v>2</v>
      </c>
      <c r="D385" t="s">
        <v>229</v>
      </c>
      <c r="E385" t="s">
        <v>246</v>
      </c>
      <c r="F385" t="s">
        <v>50</v>
      </c>
      <c r="G385">
        <v>35</v>
      </c>
      <c r="H385">
        <v>34</v>
      </c>
      <c r="I385">
        <v>1152000</v>
      </c>
      <c r="J385">
        <v>0.08</v>
      </c>
      <c r="K385" t="s">
        <v>51</v>
      </c>
      <c r="L385" s="1">
        <v>46045</v>
      </c>
      <c r="M385" s="1">
        <v>46048</v>
      </c>
      <c r="N385" t="s">
        <v>81</v>
      </c>
      <c r="P385">
        <v>383</v>
      </c>
      <c r="Q385" t="s">
        <v>231</v>
      </c>
      <c r="R385" t="s">
        <v>83</v>
      </c>
      <c r="S385" t="s">
        <v>123</v>
      </c>
      <c r="T385" t="s">
        <v>56</v>
      </c>
      <c r="U385" t="s">
        <v>248</v>
      </c>
      <c r="V385" t="s">
        <v>138</v>
      </c>
      <c r="W385" t="s">
        <v>139</v>
      </c>
      <c r="X385">
        <v>900000</v>
      </c>
      <c r="Y385">
        <v>1152000</v>
      </c>
      <c r="Z385" t="s">
        <v>56</v>
      </c>
      <c r="AA385" t="s">
        <v>73</v>
      </c>
      <c r="AB385" t="s">
        <v>61</v>
      </c>
      <c r="AC385" t="s">
        <v>54</v>
      </c>
      <c r="AD385" t="s">
        <v>94</v>
      </c>
      <c r="AE385">
        <v>36034560</v>
      </c>
      <c r="AF385">
        <v>30600000</v>
      </c>
      <c r="AG385">
        <v>5434560</v>
      </c>
      <c r="AH385" t="b">
        <v>1</v>
      </c>
      <c r="AI385" t="b">
        <v>1</v>
      </c>
      <c r="AJ385">
        <v>0</v>
      </c>
      <c r="AK385">
        <v>3</v>
      </c>
      <c r="AL385" t="b">
        <v>1</v>
      </c>
      <c r="AM385" t="b">
        <v>0</v>
      </c>
      <c r="AN385">
        <v>36034560</v>
      </c>
      <c r="AO385">
        <v>5434560</v>
      </c>
      <c r="AP385">
        <v>34</v>
      </c>
      <c r="AQ385">
        <v>35</v>
      </c>
      <c r="AR385">
        <v>0</v>
      </c>
      <c r="AS385">
        <v>1</v>
      </c>
      <c r="AT385">
        <v>0</v>
      </c>
      <c r="AU385">
        <v>5434560</v>
      </c>
    </row>
    <row r="386" spans="1:47" x14ac:dyDescent="0.3">
      <c r="A386" s="1">
        <v>46027</v>
      </c>
      <c r="B386" t="s">
        <v>569</v>
      </c>
      <c r="C386">
        <v>2</v>
      </c>
      <c r="D386" t="s">
        <v>194</v>
      </c>
      <c r="E386" t="s">
        <v>79</v>
      </c>
      <c r="F386" t="s">
        <v>66</v>
      </c>
      <c r="G386">
        <v>13</v>
      </c>
      <c r="H386">
        <v>11</v>
      </c>
      <c r="I386">
        <v>150000</v>
      </c>
      <c r="J386">
        <v>0</v>
      </c>
      <c r="K386" t="s">
        <v>51</v>
      </c>
      <c r="L386" s="1">
        <v>46034</v>
      </c>
      <c r="M386" s="1">
        <v>46034</v>
      </c>
      <c r="N386" t="s">
        <v>52</v>
      </c>
      <c r="P386">
        <v>384</v>
      </c>
      <c r="Q386" t="s">
        <v>195</v>
      </c>
      <c r="R386" t="s">
        <v>54</v>
      </c>
      <c r="S386" t="s">
        <v>123</v>
      </c>
      <c r="T386" t="s">
        <v>56</v>
      </c>
      <c r="U386" t="s">
        <v>85</v>
      </c>
      <c r="V386" t="s">
        <v>86</v>
      </c>
      <c r="W386" t="s">
        <v>87</v>
      </c>
      <c r="X386">
        <v>120000</v>
      </c>
      <c r="Y386">
        <v>150000</v>
      </c>
      <c r="Z386" t="s">
        <v>56</v>
      </c>
      <c r="AA386" t="s">
        <v>60</v>
      </c>
      <c r="AB386" t="s">
        <v>74</v>
      </c>
      <c r="AC386" t="s">
        <v>75</v>
      </c>
      <c r="AD386" t="s">
        <v>94</v>
      </c>
      <c r="AE386">
        <v>1650000</v>
      </c>
      <c r="AF386">
        <v>1320000</v>
      </c>
      <c r="AG386">
        <v>330000</v>
      </c>
      <c r="AH386" t="b">
        <v>1</v>
      </c>
      <c r="AI386" t="b">
        <v>1</v>
      </c>
      <c r="AJ386">
        <v>1</v>
      </c>
      <c r="AK386">
        <v>0</v>
      </c>
      <c r="AL386" t="b">
        <v>1</v>
      </c>
      <c r="AM386" t="b">
        <v>0</v>
      </c>
      <c r="AN386">
        <v>1650000</v>
      </c>
      <c r="AO386">
        <v>330000</v>
      </c>
      <c r="AP386">
        <v>11</v>
      </c>
      <c r="AQ386">
        <v>13</v>
      </c>
      <c r="AR386">
        <v>1</v>
      </c>
      <c r="AS386">
        <v>1</v>
      </c>
      <c r="AT386">
        <v>0</v>
      </c>
      <c r="AU386">
        <v>330000</v>
      </c>
    </row>
    <row r="387" spans="1:47" x14ac:dyDescent="0.3">
      <c r="A387" s="1">
        <v>46127</v>
      </c>
      <c r="B387" t="s">
        <v>570</v>
      </c>
      <c r="C387">
        <v>1</v>
      </c>
      <c r="D387" t="s">
        <v>336</v>
      </c>
      <c r="E387" t="s">
        <v>210</v>
      </c>
      <c r="F387" t="s">
        <v>114</v>
      </c>
      <c r="G387">
        <v>3</v>
      </c>
      <c r="H387">
        <v>0</v>
      </c>
      <c r="I387">
        <v>234000</v>
      </c>
      <c r="J387">
        <v>0</v>
      </c>
      <c r="K387" t="s">
        <v>98</v>
      </c>
      <c r="L387" s="1">
        <v>46128</v>
      </c>
      <c r="N387" t="s">
        <v>81</v>
      </c>
      <c r="P387">
        <v>385</v>
      </c>
      <c r="Q387" t="s">
        <v>337</v>
      </c>
      <c r="R387" t="s">
        <v>75</v>
      </c>
      <c r="S387" t="s">
        <v>84</v>
      </c>
      <c r="T387" t="s">
        <v>56</v>
      </c>
      <c r="U387" t="s">
        <v>212</v>
      </c>
      <c r="V387" t="s">
        <v>58</v>
      </c>
      <c r="W387" t="s">
        <v>59</v>
      </c>
      <c r="X387">
        <v>180000</v>
      </c>
      <c r="Y387">
        <v>234000</v>
      </c>
      <c r="Z387" t="s">
        <v>56</v>
      </c>
      <c r="AA387" t="s">
        <v>60</v>
      </c>
      <c r="AB387" t="s">
        <v>117</v>
      </c>
      <c r="AC387" t="s">
        <v>83</v>
      </c>
      <c r="AD387" t="s">
        <v>130</v>
      </c>
      <c r="AE387">
        <v>0</v>
      </c>
      <c r="AF387">
        <v>0</v>
      </c>
      <c r="AG387">
        <v>0</v>
      </c>
      <c r="AH387" t="b">
        <v>1</v>
      </c>
      <c r="AI387" t="b">
        <v>0</v>
      </c>
      <c r="AL387" t="b">
        <v>1</v>
      </c>
      <c r="AM387" t="b">
        <v>0</v>
      </c>
      <c r="AN387">
        <v>0</v>
      </c>
      <c r="AO387">
        <v>0</v>
      </c>
      <c r="AP387">
        <v>0</v>
      </c>
      <c r="AQ387">
        <v>3</v>
      </c>
      <c r="AR387">
        <v>0</v>
      </c>
      <c r="AS387">
        <v>0</v>
      </c>
      <c r="AT387">
        <v>0</v>
      </c>
      <c r="AU387">
        <v>0</v>
      </c>
    </row>
    <row r="388" spans="1:47" x14ac:dyDescent="0.3">
      <c r="A388" s="1">
        <v>46050</v>
      </c>
      <c r="B388" t="s">
        <v>571</v>
      </c>
      <c r="C388">
        <v>2</v>
      </c>
      <c r="D388" t="s">
        <v>336</v>
      </c>
      <c r="E388" t="s">
        <v>105</v>
      </c>
      <c r="F388" t="s">
        <v>66</v>
      </c>
      <c r="G388">
        <v>32</v>
      </c>
      <c r="H388">
        <v>29</v>
      </c>
      <c r="I388">
        <v>212000</v>
      </c>
      <c r="J388">
        <v>0.02</v>
      </c>
      <c r="K388" t="s">
        <v>51</v>
      </c>
      <c r="L388" s="1">
        <v>46051</v>
      </c>
      <c r="M388" s="1">
        <v>46051</v>
      </c>
      <c r="N388" t="s">
        <v>81</v>
      </c>
      <c r="P388">
        <v>386</v>
      </c>
      <c r="Q388" t="s">
        <v>337</v>
      </c>
      <c r="R388" t="s">
        <v>75</v>
      </c>
      <c r="S388" t="s">
        <v>84</v>
      </c>
      <c r="T388" t="s">
        <v>56</v>
      </c>
      <c r="U388" t="s">
        <v>108</v>
      </c>
      <c r="V388" t="s">
        <v>109</v>
      </c>
      <c r="W388" t="s">
        <v>110</v>
      </c>
      <c r="X388">
        <v>180000</v>
      </c>
      <c r="Y388">
        <v>212000</v>
      </c>
      <c r="Z388" t="s">
        <v>56</v>
      </c>
      <c r="AA388" t="s">
        <v>73</v>
      </c>
      <c r="AB388" t="s">
        <v>74</v>
      </c>
      <c r="AC388" t="s">
        <v>75</v>
      </c>
      <c r="AD388" t="s">
        <v>94</v>
      </c>
      <c r="AE388">
        <v>6025040</v>
      </c>
      <c r="AF388">
        <v>5220000</v>
      </c>
      <c r="AG388">
        <v>805040</v>
      </c>
      <c r="AH388" t="b">
        <v>1</v>
      </c>
      <c r="AI388" t="b">
        <v>1</v>
      </c>
      <c r="AJ388">
        <v>1</v>
      </c>
      <c r="AK388">
        <v>0</v>
      </c>
      <c r="AL388" t="b">
        <v>1</v>
      </c>
      <c r="AM388" t="b">
        <v>0</v>
      </c>
      <c r="AN388">
        <v>6025040</v>
      </c>
      <c r="AO388">
        <v>805040</v>
      </c>
      <c r="AP388">
        <v>29</v>
      </c>
      <c r="AQ388">
        <v>32</v>
      </c>
      <c r="AR388">
        <v>1</v>
      </c>
      <c r="AS388">
        <v>1</v>
      </c>
      <c r="AT388">
        <v>0</v>
      </c>
      <c r="AU388">
        <v>805040</v>
      </c>
    </row>
    <row r="389" spans="1:47" x14ac:dyDescent="0.3">
      <c r="A389" s="1">
        <v>46178</v>
      </c>
      <c r="B389" t="s">
        <v>572</v>
      </c>
      <c r="C389">
        <v>1</v>
      </c>
      <c r="D389" t="s">
        <v>141</v>
      </c>
      <c r="E389" t="s">
        <v>175</v>
      </c>
      <c r="F389" t="s">
        <v>114</v>
      </c>
      <c r="G389">
        <v>30</v>
      </c>
      <c r="H389">
        <v>1</v>
      </c>
      <c r="I389">
        <v>1098000</v>
      </c>
      <c r="J389">
        <v>0.02</v>
      </c>
      <c r="K389" t="s">
        <v>98</v>
      </c>
      <c r="L389" s="1">
        <v>46185</v>
      </c>
      <c r="N389" t="s">
        <v>67</v>
      </c>
      <c r="P389">
        <v>387</v>
      </c>
      <c r="Q389" t="s">
        <v>143</v>
      </c>
      <c r="R389" t="s">
        <v>75</v>
      </c>
      <c r="S389" t="s">
        <v>55</v>
      </c>
      <c r="T389" t="s">
        <v>56</v>
      </c>
      <c r="U389" t="s">
        <v>177</v>
      </c>
      <c r="V389" t="s">
        <v>101</v>
      </c>
      <c r="W389" t="s">
        <v>102</v>
      </c>
      <c r="X389">
        <v>900000</v>
      </c>
      <c r="Y389">
        <v>1098000</v>
      </c>
      <c r="Z389" t="s">
        <v>56</v>
      </c>
      <c r="AA389" t="s">
        <v>129</v>
      </c>
      <c r="AB389" t="s">
        <v>117</v>
      </c>
      <c r="AC389" t="s">
        <v>83</v>
      </c>
      <c r="AD389" t="s">
        <v>118</v>
      </c>
      <c r="AE389">
        <v>1076040</v>
      </c>
      <c r="AF389">
        <v>900000</v>
      </c>
      <c r="AG389">
        <v>176040</v>
      </c>
      <c r="AH389" t="b">
        <v>1</v>
      </c>
      <c r="AI389" t="b">
        <v>0</v>
      </c>
      <c r="AL389" t="b">
        <v>1</v>
      </c>
      <c r="AM389" t="b">
        <v>0</v>
      </c>
      <c r="AN389">
        <v>1076040</v>
      </c>
      <c r="AO389">
        <v>176040</v>
      </c>
      <c r="AP389">
        <v>1</v>
      </c>
      <c r="AQ389">
        <v>30</v>
      </c>
      <c r="AR389">
        <v>0</v>
      </c>
      <c r="AS389">
        <v>0</v>
      </c>
      <c r="AT389">
        <v>0</v>
      </c>
      <c r="AU389">
        <v>176040</v>
      </c>
    </row>
    <row r="390" spans="1:47" x14ac:dyDescent="0.3">
      <c r="A390" s="1">
        <v>46117</v>
      </c>
      <c r="B390" t="s">
        <v>573</v>
      </c>
      <c r="C390">
        <v>3</v>
      </c>
      <c r="D390" t="s">
        <v>223</v>
      </c>
      <c r="E390" t="s">
        <v>105</v>
      </c>
      <c r="F390" t="s">
        <v>114</v>
      </c>
      <c r="G390">
        <v>20</v>
      </c>
      <c r="H390">
        <v>19</v>
      </c>
      <c r="I390">
        <v>212000</v>
      </c>
      <c r="J390">
        <v>0</v>
      </c>
      <c r="K390" t="s">
        <v>51</v>
      </c>
      <c r="L390" s="1">
        <v>46118</v>
      </c>
      <c r="M390" s="1">
        <v>46121</v>
      </c>
      <c r="N390" t="s">
        <v>81</v>
      </c>
      <c r="P390">
        <v>388</v>
      </c>
      <c r="Q390" t="s">
        <v>224</v>
      </c>
      <c r="R390" t="s">
        <v>83</v>
      </c>
      <c r="S390" t="s">
        <v>55</v>
      </c>
      <c r="T390" t="s">
        <v>56</v>
      </c>
      <c r="U390" t="s">
        <v>108</v>
      </c>
      <c r="V390" t="s">
        <v>109</v>
      </c>
      <c r="W390" t="s">
        <v>110</v>
      </c>
      <c r="X390">
        <v>180000</v>
      </c>
      <c r="Y390">
        <v>212000</v>
      </c>
      <c r="Z390" t="s">
        <v>56</v>
      </c>
      <c r="AA390" t="s">
        <v>73</v>
      </c>
      <c r="AB390" t="s">
        <v>117</v>
      </c>
      <c r="AC390" t="s">
        <v>83</v>
      </c>
      <c r="AD390" t="s">
        <v>130</v>
      </c>
      <c r="AE390">
        <v>4028000</v>
      </c>
      <c r="AF390">
        <v>3420000</v>
      </c>
      <c r="AG390">
        <v>608000</v>
      </c>
      <c r="AH390" t="b">
        <v>1</v>
      </c>
      <c r="AI390" t="b">
        <v>1</v>
      </c>
      <c r="AJ390">
        <v>0</v>
      </c>
      <c r="AK390">
        <v>3</v>
      </c>
      <c r="AL390" t="b">
        <v>1</v>
      </c>
      <c r="AM390" t="b">
        <v>0</v>
      </c>
      <c r="AN390">
        <v>4028000</v>
      </c>
      <c r="AO390">
        <v>608000</v>
      </c>
      <c r="AP390">
        <v>19</v>
      </c>
      <c r="AQ390">
        <v>20</v>
      </c>
      <c r="AR390">
        <v>0</v>
      </c>
      <c r="AS390">
        <v>1</v>
      </c>
      <c r="AT390">
        <v>0</v>
      </c>
      <c r="AU390">
        <v>608000</v>
      </c>
    </row>
    <row r="391" spans="1:47" x14ac:dyDescent="0.3">
      <c r="A391" s="1">
        <v>46159</v>
      </c>
      <c r="B391" t="s">
        <v>436</v>
      </c>
      <c r="C391">
        <v>2</v>
      </c>
      <c r="D391" t="s">
        <v>288</v>
      </c>
      <c r="E391" t="s">
        <v>210</v>
      </c>
      <c r="F391" t="s">
        <v>80</v>
      </c>
      <c r="G391">
        <v>12</v>
      </c>
      <c r="H391">
        <v>12</v>
      </c>
      <c r="I391">
        <v>234000</v>
      </c>
      <c r="J391">
        <v>0.1</v>
      </c>
      <c r="K391" t="s">
        <v>51</v>
      </c>
      <c r="L391" s="1">
        <v>46160</v>
      </c>
      <c r="M391" s="1">
        <v>46167</v>
      </c>
      <c r="N391" t="s">
        <v>52</v>
      </c>
      <c r="P391">
        <v>389</v>
      </c>
      <c r="Q391" t="s">
        <v>289</v>
      </c>
      <c r="R391" t="s">
        <v>83</v>
      </c>
      <c r="S391" t="s">
        <v>69</v>
      </c>
      <c r="T391" t="s">
        <v>56</v>
      </c>
      <c r="U391" t="s">
        <v>212</v>
      </c>
      <c r="V391" t="s">
        <v>58</v>
      </c>
      <c r="W391" t="s">
        <v>59</v>
      </c>
      <c r="X391">
        <v>180000</v>
      </c>
      <c r="Y391">
        <v>234000</v>
      </c>
      <c r="Z391" t="s">
        <v>56</v>
      </c>
      <c r="AA391" t="s">
        <v>60</v>
      </c>
      <c r="AB391" t="s">
        <v>88</v>
      </c>
      <c r="AC391" t="s">
        <v>83</v>
      </c>
      <c r="AD391" t="s">
        <v>76</v>
      </c>
      <c r="AE391">
        <v>2527200</v>
      </c>
      <c r="AF391">
        <v>2160000</v>
      </c>
      <c r="AG391">
        <v>367200</v>
      </c>
      <c r="AH391" t="b">
        <v>1</v>
      </c>
      <c r="AI391" t="b">
        <v>1</v>
      </c>
      <c r="AJ391">
        <v>0</v>
      </c>
      <c r="AK391">
        <v>7</v>
      </c>
      <c r="AL391" t="b">
        <v>1</v>
      </c>
      <c r="AM391" t="b">
        <v>0</v>
      </c>
      <c r="AN391">
        <v>2527200</v>
      </c>
      <c r="AO391">
        <v>367200</v>
      </c>
      <c r="AP391">
        <v>12</v>
      </c>
      <c r="AQ391">
        <v>12</v>
      </c>
      <c r="AR391">
        <v>0</v>
      </c>
      <c r="AS391">
        <v>1</v>
      </c>
      <c r="AT391">
        <v>0</v>
      </c>
      <c r="AU391">
        <v>367200</v>
      </c>
    </row>
    <row r="392" spans="1:47" x14ac:dyDescent="0.3">
      <c r="A392" s="1">
        <v>46195</v>
      </c>
      <c r="B392" t="s">
        <v>574</v>
      </c>
      <c r="C392">
        <v>4</v>
      </c>
      <c r="D392" t="s">
        <v>336</v>
      </c>
      <c r="E392" t="s">
        <v>311</v>
      </c>
      <c r="F392" t="s">
        <v>80</v>
      </c>
      <c r="G392">
        <v>26</v>
      </c>
      <c r="H392">
        <v>26</v>
      </c>
      <c r="I392">
        <v>437000</v>
      </c>
      <c r="J392">
        <v>0.08</v>
      </c>
      <c r="K392" t="s">
        <v>51</v>
      </c>
      <c r="L392" s="1">
        <v>46202</v>
      </c>
      <c r="M392" s="1">
        <v>46203</v>
      </c>
      <c r="N392" t="s">
        <v>52</v>
      </c>
      <c r="P392">
        <v>390</v>
      </c>
      <c r="Q392" t="s">
        <v>337</v>
      </c>
      <c r="R392" t="s">
        <v>75</v>
      </c>
      <c r="S392" t="s">
        <v>84</v>
      </c>
      <c r="T392" t="s">
        <v>56</v>
      </c>
      <c r="U392" t="s">
        <v>312</v>
      </c>
      <c r="V392" t="s">
        <v>86</v>
      </c>
      <c r="W392" t="s">
        <v>87</v>
      </c>
      <c r="X392">
        <v>350000</v>
      </c>
      <c r="Y392">
        <v>437000</v>
      </c>
      <c r="Z392" t="s">
        <v>56</v>
      </c>
      <c r="AA392" t="s">
        <v>60</v>
      </c>
      <c r="AB392" t="s">
        <v>88</v>
      </c>
      <c r="AC392" t="s">
        <v>83</v>
      </c>
      <c r="AD392" t="s">
        <v>118</v>
      </c>
      <c r="AE392">
        <v>10453040</v>
      </c>
      <c r="AF392">
        <v>9100000</v>
      </c>
      <c r="AG392">
        <v>1353040</v>
      </c>
      <c r="AH392" t="b">
        <v>1</v>
      </c>
      <c r="AI392" t="b">
        <v>1</v>
      </c>
      <c r="AJ392">
        <v>0</v>
      </c>
      <c r="AK392">
        <v>1</v>
      </c>
      <c r="AL392" t="b">
        <v>1</v>
      </c>
      <c r="AM392" t="b">
        <v>0</v>
      </c>
      <c r="AN392">
        <v>10453040</v>
      </c>
      <c r="AO392">
        <v>1353040</v>
      </c>
      <c r="AP392">
        <v>26</v>
      </c>
      <c r="AQ392">
        <v>26</v>
      </c>
      <c r="AR392">
        <v>0</v>
      </c>
      <c r="AS392">
        <v>1</v>
      </c>
      <c r="AT392">
        <v>0</v>
      </c>
      <c r="AU392">
        <v>1353040</v>
      </c>
    </row>
    <row r="393" spans="1:47" x14ac:dyDescent="0.3">
      <c r="A393" s="1">
        <v>46103</v>
      </c>
      <c r="B393" t="s">
        <v>442</v>
      </c>
      <c r="C393">
        <v>3</v>
      </c>
      <c r="D393" t="s">
        <v>300</v>
      </c>
      <c r="E393" t="s">
        <v>167</v>
      </c>
      <c r="F393" t="s">
        <v>66</v>
      </c>
      <c r="G393">
        <v>21</v>
      </c>
      <c r="H393">
        <v>18</v>
      </c>
      <c r="I393">
        <v>1062000</v>
      </c>
      <c r="J393">
        <v>0</v>
      </c>
      <c r="K393" t="s">
        <v>51</v>
      </c>
      <c r="L393" s="1">
        <v>46108</v>
      </c>
      <c r="M393" s="1">
        <v>46115</v>
      </c>
      <c r="N393" t="s">
        <v>52</v>
      </c>
      <c r="P393">
        <v>391</v>
      </c>
      <c r="Q393" t="s">
        <v>301</v>
      </c>
      <c r="R393" t="s">
        <v>83</v>
      </c>
      <c r="S393" t="s">
        <v>123</v>
      </c>
      <c r="T393" t="s">
        <v>56</v>
      </c>
      <c r="U393" t="s">
        <v>169</v>
      </c>
      <c r="V393" t="s">
        <v>109</v>
      </c>
      <c r="W393" t="s">
        <v>110</v>
      </c>
      <c r="X393">
        <v>900000</v>
      </c>
      <c r="Y393">
        <v>1062000</v>
      </c>
      <c r="Z393" t="s">
        <v>56</v>
      </c>
      <c r="AA393" t="s">
        <v>60</v>
      </c>
      <c r="AB393" t="s">
        <v>74</v>
      </c>
      <c r="AC393" t="s">
        <v>75</v>
      </c>
      <c r="AD393" t="s">
        <v>62</v>
      </c>
      <c r="AE393">
        <v>19116000</v>
      </c>
      <c r="AF393">
        <v>16200000</v>
      </c>
      <c r="AG393">
        <v>2916000</v>
      </c>
      <c r="AH393" t="b">
        <v>1</v>
      </c>
      <c r="AI393" t="b">
        <v>1</v>
      </c>
      <c r="AJ393">
        <v>0</v>
      </c>
      <c r="AK393">
        <v>7</v>
      </c>
      <c r="AL393" t="b">
        <v>1</v>
      </c>
      <c r="AM393" t="b">
        <v>0</v>
      </c>
      <c r="AN393">
        <v>19116000</v>
      </c>
      <c r="AO393">
        <v>2916000</v>
      </c>
      <c r="AP393">
        <v>18</v>
      </c>
      <c r="AQ393">
        <v>21</v>
      </c>
      <c r="AR393">
        <v>0</v>
      </c>
      <c r="AS393">
        <v>1</v>
      </c>
      <c r="AT393">
        <v>0</v>
      </c>
      <c r="AU393">
        <v>2916000</v>
      </c>
    </row>
    <row r="394" spans="1:47" x14ac:dyDescent="0.3">
      <c r="A394" s="1">
        <v>46115</v>
      </c>
      <c r="B394" t="s">
        <v>575</v>
      </c>
      <c r="C394">
        <v>4</v>
      </c>
      <c r="D394" t="s">
        <v>151</v>
      </c>
      <c r="E394" t="s">
        <v>282</v>
      </c>
      <c r="F394" t="s">
        <v>114</v>
      </c>
      <c r="G394">
        <v>19</v>
      </c>
      <c r="H394">
        <v>19</v>
      </c>
      <c r="I394">
        <v>230000</v>
      </c>
      <c r="J394">
        <v>0.02</v>
      </c>
      <c r="K394" t="s">
        <v>51</v>
      </c>
      <c r="L394" s="1">
        <v>46116</v>
      </c>
      <c r="M394" s="1">
        <v>46116</v>
      </c>
      <c r="N394" t="s">
        <v>81</v>
      </c>
      <c r="P394">
        <v>392</v>
      </c>
      <c r="Q394" t="s">
        <v>153</v>
      </c>
      <c r="R394" t="s">
        <v>75</v>
      </c>
      <c r="S394" t="s">
        <v>69</v>
      </c>
      <c r="T394" t="s">
        <v>56</v>
      </c>
      <c r="U394" t="s">
        <v>283</v>
      </c>
      <c r="V394" t="s">
        <v>138</v>
      </c>
      <c r="W394" t="s">
        <v>139</v>
      </c>
      <c r="X394">
        <v>180000</v>
      </c>
      <c r="Y394">
        <v>230000</v>
      </c>
      <c r="Z394" t="s">
        <v>56</v>
      </c>
      <c r="AA394" t="s">
        <v>129</v>
      </c>
      <c r="AB394" t="s">
        <v>117</v>
      </c>
      <c r="AC394" t="s">
        <v>83</v>
      </c>
      <c r="AD394" t="s">
        <v>130</v>
      </c>
      <c r="AE394">
        <v>4282600</v>
      </c>
      <c r="AF394">
        <v>3420000</v>
      </c>
      <c r="AG394">
        <v>862600</v>
      </c>
      <c r="AH394" t="b">
        <v>1</v>
      </c>
      <c r="AI394" t="b">
        <v>1</v>
      </c>
      <c r="AJ394">
        <v>1</v>
      </c>
      <c r="AK394">
        <v>0</v>
      </c>
      <c r="AL394" t="b">
        <v>1</v>
      </c>
      <c r="AM394" t="b">
        <v>0</v>
      </c>
      <c r="AN394">
        <v>4282600</v>
      </c>
      <c r="AO394">
        <v>862600</v>
      </c>
      <c r="AP394">
        <v>19</v>
      </c>
      <c r="AQ394">
        <v>19</v>
      </c>
      <c r="AR394">
        <v>1</v>
      </c>
      <c r="AS394">
        <v>1</v>
      </c>
      <c r="AT394">
        <v>0</v>
      </c>
      <c r="AU394">
        <v>862600</v>
      </c>
    </row>
    <row r="395" spans="1:47" x14ac:dyDescent="0.3">
      <c r="A395" s="1">
        <v>46077</v>
      </c>
      <c r="B395" t="s">
        <v>494</v>
      </c>
      <c r="C395">
        <v>1</v>
      </c>
      <c r="D395" t="s">
        <v>209</v>
      </c>
      <c r="E395" t="s">
        <v>156</v>
      </c>
      <c r="F395" t="s">
        <v>80</v>
      </c>
      <c r="G395">
        <v>7</v>
      </c>
      <c r="H395">
        <v>7</v>
      </c>
      <c r="I395">
        <v>243000</v>
      </c>
      <c r="J395">
        <v>0</v>
      </c>
      <c r="K395" t="s">
        <v>51</v>
      </c>
      <c r="L395" s="1">
        <v>46080</v>
      </c>
      <c r="M395" s="1">
        <v>46080</v>
      </c>
      <c r="N395" t="s">
        <v>81</v>
      </c>
      <c r="P395">
        <v>393</v>
      </c>
      <c r="Q395" t="s">
        <v>211</v>
      </c>
      <c r="R395" t="s">
        <v>54</v>
      </c>
      <c r="S395" t="s">
        <v>84</v>
      </c>
      <c r="T395" t="s">
        <v>56</v>
      </c>
      <c r="U395" t="s">
        <v>157</v>
      </c>
      <c r="V395" t="s">
        <v>71</v>
      </c>
      <c r="W395" t="s">
        <v>72</v>
      </c>
      <c r="X395">
        <v>180000</v>
      </c>
      <c r="Y395">
        <v>243000</v>
      </c>
      <c r="Z395" t="s">
        <v>56</v>
      </c>
      <c r="AA395" t="s">
        <v>73</v>
      </c>
      <c r="AB395" t="s">
        <v>88</v>
      </c>
      <c r="AC395" t="s">
        <v>83</v>
      </c>
      <c r="AD395" t="s">
        <v>158</v>
      </c>
      <c r="AE395">
        <v>1701000</v>
      </c>
      <c r="AF395">
        <v>1260000</v>
      </c>
      <c r="AG395">
        <v>441000</v>
      </c>
      <c r="AH395" t="b">
        <v>1</v>
      </c>
      <c r="AI395" t="b">
        <v>1</v>
      </c>
      <c r="AJ395">
        <v>1</v>
      </c>
      <c r="AK395">
        <v>0</v>
      </c>
      <c r="AL395" t="b">
        <v>1</v>
      </c>
      <c r="AM395" t="b">
        <v>0</v>
      </c>
      <c r="AN395">
        <v>1701000</v>
      </c>
      <c r="AO395">
        <v>441000</v>
      </c>
      <c r="AP395">
        <v>7</v>
      </c>
      <c r="AQ395">
        <v>7</v>
      </c>
      <c r="AR395">
        <v>1</v>
      </c>
      <c r="AS395">
        <v>1</v>
      </c>
      <c r="AT395">
        <v>0</v>
      </c>
      <c r="AU395">
        <v>441000</v>
      </c>
    </row>
    <row r="396" spans="1:47" x14ac:dyDescent="0.3">
      <c r="A396" s="1">
        <v>46082</v>
      </c>
      <c r="B396" t="s">
        <v>576</v>
      </c>
      <c r="C396">
        <v>3</v>
      </c>
      <c r="D396" t="s">
        <v>200</v>
      </c>
      <c r="E396" t="s">
        <v>259</v>
      </c>
      <c r="F396" t="s">
        <v>80</v>
      </c>
      <c r="G396">
        <v>5</v>
      </c>
      <c r="H396">
        <v>3</v>
      </c>
      <c r="I396">
        <v>146000</v>
      </c>
      <c r="J396">
        <v>0</v>
      </c>
      <c r="K396" t="s">
        <v>98</v>
      </c>
      <c r="L396" s="1">
        <v>46087</v>
      </c>
      <c r="N396" t="s">
        <v>106</v>
      </c>
      <c r="P396">
        <v>394</v>
      </c>
      <c r="Q396" t="s">
        <v>201</v>
      </c>
      <c r="R396" t="s">
        <v>75</v>
      </c>
      <c r="S396" t="s">
        <v>55</v>
      </c>
      <c r="T396" t="s">
        <v>56</v>
      </c>
      <c r="U396" t="s">
        <v>260</v>
      </c>
      <c r="V396" t="s">
        <v>101</v>
      </c>
      <c r="W396" t="s">
        <v>102</v>
      </c>
      <c r="X396">
        <v>120000</v>
      </c>
      <c r="Y396">
        <v>146000</v>
      </c>
      <c r="Z396" t="s">
        <v>56</v>
      </c>
      <c r="AA396" t="s">
        <v>129</v>
      </c>
      <c r="AB396" t="s">
        <v>88</v>
      </c>
      <c r="AC396" t="s">
        <v>83</v>
      </c>
      <c r="AD396" t="s">
        <v>62</v>
      </c>
      <c r="AE396">
        <v>438000</v>
      </c>
      <c r="AF396">
        <v>360000</v>
      </c>
      <c r="AG396">
        <v>78000</v>
      </c>
      <c r="AH396" t="b">
        <v>1</v>
      </c>
      <c r="AI396" t="b">
        <v>0</v>
      </c>
      <c r="AL396" t="b">
        <v>1</v>
      </c>
      <c r="AM396" t="b">
        <v>0</v>
      </c>
      <c r="AN396">
        <v>438000</v>
      </c>
      <c r="AO396">
        <v>78000</v>
      </c>
      <c r="AP396">
        <v>3</v>
      </c>
      <c r="AQ396">
        <v>5</v>
      </c>
      <c r="AR396">
        <v>0</v>
      </c>
      <c r="AS396">
        <v>0</v>
      </c>
      <c r="AT396">
        <v>0</v>
      </c>
      <c r="AU396">
        <v>78000</v>
      </c>
    </row>
    <row r="397" spans="1:47" x14ac:dyDescent="0.3">
      <c r="A397" s="1">
        <v>46175</v>
      </c>
      <c r="B397" t="s">
        <v>577</v>
      </c>
      <c r="C397">
        <v>1</v>
      </c>
      <c r="D397" t="s">
        <v>185</v>
      </c>
      <c r="E397" t="s">
        <v>136</v>
      </c>
      <c r="F397" t="s">
        <v>114</v>
      </c>
      <c r="G397">
        <v>4</v>
      </c>
      <c r="H397">
        <v>0</v>
      </c>
      <c r="I397">
        <v>2304000</v>
      </c>
      <c r="J397">
        <v>0.02</v>
      </c>
      <c r="K397" t="s">
        <v>127</v>
      </c>
      <c r="L397" s="1">
        <v>46178</v>
      </c>
      <c r="N397" t="s">
        <v>67</v>
      </c>
      <c r="P397">
        <v>395</v>
      </c>
      <c r="Q397" t="s">
        <v>186</v>
      </c>
      <c r="R397" t="s">
        <v>54</v>
      </c>
      <c r="S397" t="s">
        <v>55</v>
      </c>
      <c r="T397" t="s">
        <v>56</v>
      </c>
      <c r="U397" t="s">
        <v>137</v>
      </c>
      <c r="V397" t="s">
        <v>138</v>
      </c>
      <c r="W397" t="s">
        <v>139</v>
      </c>
      <c r="X397">
        <v>1800000</v>
      </c>
      <c r="Y397">
        <v>2304000</v>
      </c>
      <c r="Z397" t="s">
        <v>56</v>
      </c>
      <c r="AA397" t="s">
        <v>129</v>
      </c>
      <c r="AB397" t="s">
        <v>117</v>
      </c>
      <c r="AC397" t="s">
        <v>83</v>
      </c>
      <c r="AD397" t="s">
        <v>118</v>
      </c>
      <c r="AE397">
        <v>0</v>
      </c>
      <c r="AG397">
        <v>0</v>
      </c>
      <c r="AH397" t="b">
        <v>1</v>
      </c>
      <c r="AI397" t="b">
        <v>0</v>
      </c>
      <c r="AL397" t="b">
        <v>0</v>
      </c>
      <c r="AM397" t="b">
        <v>0</v>
      </c>
      <c r="AN397">
        <v>0</v>
      </c>
      <c r="AO397">
        <v>0</v>
      </c>
      <c r="AP397">
        <v>0</v>
      </c>
      <c r="AQ397">
        <v>0</v>
      </c>
      <c r="AR397">
        <v>0</v>
      </c>
      <c r="AS397">
        <v>0</v>
      </c>
      <c r="AT397">
        <v>0</v>
      </c>
      <c r="AU397">
        <v>0</v>
      </c>
    </row>
    <row r="398" spans="1:47" x14ac:dyDescent="0.3">
      <c r="A398" s="1">
        <v>46129</v>
      </c>
      <c r="B398" t="s">
        <v>244</v>
      </c>
      <c r="C398">
        <v>2</v>
      </c>
      <c r="D398" t="s">
        <v>307</v>
      </c>
      <c r="E398" t="s">
        <v>282</v>
      </c>
      <c r="F398" t="s">
        <v>66</v>
      </c>
      <c r="G398">
        <v>4</v>
      </c>
      <c r="H398">
        <v>4</v>
      </c>
      <c r="I398">
        <v>230000</v>
      </c>
      <c r="J398">
        <v>0.08</v>
      </c>
      <c r="K398" t="s">
        <v>51</v>
      </c>
      <c r="L398" s="1">
        <v>46136</v>
      </c>
      <c r="M398" s="1">
        <v>46136</v>
      </c>
      <c r="N398" t="s">
        <v>52</v>
      </c>
      <c r="P398">
        <v>396</v>
      </c>
      <c r="Q398" t="s">
        <v>308</v>
      </c>
      <c r="R398" t="s">
        <v>75</v>
      </c>
      <c r="S398" t="s">
        <v>123</v>
      </c>
      <c r="T398" t="s">
        <v>56</v>
      </c>
      <c r="U398" t="s">
        <v>283</v>
      </c>
      <c r="V398" t="s">
        <v>138</v>
      </c>
      <c r="W398" t="s">
        <v>139</v>
      </c>
      <c r="X398">
        <v>180000</v>
      </c>
      <c r="Y398">
        <v>230000</v>
      </c>
      <c r="Z398" t="s">
        <v>56</v>
      </c>
      <c r="AA398" t="s">
        <v>129</v>
      </c>
      <c r="AB398" t="s">
        <v>74</v>
      </c>
      <c r="AC398" t="s">
        <v>75</v>
      </c>
      <c r="AD398" t="s">
        <v>130</v>
      </c>
      <c r="AE398">
        <v>846400</v>
      </c>
      <c r="AF398">
        <v>720000</v>
      </c>
      <c r="AG398">
        <v>126400</v>
      </c>
      <c r="AH398" t="b">
        <v>1</v>
      </c>
      <c r="AI398" t="b">
        <v>1</v>
      </c>
      <c r="AJ398">
        <v>1</v>
      </c>
      <c r="AK398">
        <v>0</v>
      </c>
      <c r="AL398" t="b">
        <v>1</v>
      </c>
      <c r="AM398" t="b">
        <v>0</v>
      </c>
      <c r="AN398">
        <v>846400</v>
      </c>
      <c r="AO398">
        <v>126400</v>
      </c>
      <c r="AP398">
        <v>4</v>
      </c>
      <c r="AQ398">
        <v>4</v>
      </c>
      <c r="AR398">
        <v>1</v>
      </c>
      <c r="AS398">
        <v>1</v>
      </c>
      <c r="AT398">
        <v>0</v>
      </c>
      <c r="AU398">
        <v>126400</v>
      </c>
    </row>
    <row r="399" spans="1:47" x14ac:dyDescent="0.3">
      <c r="A399" s="1">
        <v>46151</v>
      </c>
      <c r="B399" t="s">
        <v>173</v>
      </c>
      <c r="C399">
        <v>2</v>
      </c>
      <c r="D399" t="s">
        <v>64</v>
      </c>
      <c r="E399" t="s">
        <v>259</v>
      </c>
      <c r="F399" t="s">
        <v>66</v>
      </c>
      <c r="G399">
        <v>33</v>
      </c>
      <c r="H399">
        <v>33</v>
      </c>
      <c r="I399">
        <v>146000</v>
      </c>
      <c r="J399">
        <v>0.05</v>
      </c>
      <c r="K399" t="s">
        <v>51</v>
      </c>
      <c r="L399" s="1">
        <v>46153</v>
      </c>
      <c r="M399" s="1">
        <v>46153</v>
      </c>
      <c r="N399" t="s">
        <v>52</v>
      </c>
      <c r="P399">
        <v>397</v>
      </c>
      <c r="Q399" t="s">
        <v>68</v>
      </c>
      <c r="R399" t="s">
        <v>54</v>
      </c>
      <c r="S399" t="s">
        <v>69</v>
      </c>
      <c r="T399" t="s">
        <v>56</v>
      </c>
      <c r="U399" t="s">
        <v>260</v>
      </c>
      <c r="V399" t="s">
        <v>101</v>
      </c>
      <c r="W399" t="s">
        <v>102</v>
      </c>
      <c r="X399">
        <v>120000</v>
      </c>
      <c r="Y399">
        <v>146000</v>
      </c>
      <c r="Z399" t="s">
        <v>56</v>
      </c>
      <c r="AA399" t="s">
        <v>129</v>
      </c>
      <c r="AB399" t="s">
        <v>74</v>
      </c>
      <c r="AC399" t="s">
        <v>75</v>
      </c>
      <c r="AD399" t="s">
        <v>76</v>
      </c>
      <c r="AE399">
        <v>4577100</v>
      </c>
      <c r="AF399">
        <v>3960000</v>
      </c>
      <c r="AG399">
        <v>617100</v>
      </c>
      <c r="AH399" t="b">
        <v>1</v>
      </c>
      <c r="AI399" t="b">
        <v>1</v>
      </c>
      <c r="AJ399">
        <v>1</v>
      </c>
      <c r="AK399">
        <v>0</v>
      </c>
      <c r="AL399" t="b">
        <v>1</v>
      </c>
      <c r="AM399" t="b">
        <v>0</v>
      </c>
      <c r="AN399">
        <v>4577100</v>
      </c>
      <c r="AO399">
        <v>617100</v>
      </c>
      <c r="AP399">
        <v>33</v>
      </c>
      <c r="AQ399">
        <v>33</v>
      </c>
      <c r="AR399">
        <v>1</v>
      </c>
      <c r="AS399">
        <v>1</v>
      </c>
      <c r="AT399">
        <v>0</v>
      </c>
      <c r="AU399">
        <v>617100</v>
      </c>
    </row>
    <row r="400" spans="1:47" x14ac:dyDescent="0.3">
      <c r="A400" s="1">
        <v>46044</v>
      </c>
      <c r="B400" t="s">
        <v>578</v>
      </c>
      <c r="C400">
        <v>1</v>
      </c>
      <c r="D400" t="s">
        <v>48</v>
      </c>
      <c r="E400" t="s">
        <v>259</v>
      </c>
      <c r="F400" t="s">
        <v>50</v>
      </c>
      <c r="G400">
        <v>6</v>
      </c>
      <c r="H400">
        <v>4</v>
      </c>
      <c r="I400">
        <v>146000</v>
      </c>
      <c r="J400">
        <v>0</v>
      </c>
      <c r="K400" t="s">
        <v>51</v>
      </c>
      <c r="L400" s="1">
        <v>46046</v>
      </c>
      <c r="M400" s="1">
        <v>46047</v>
      </c>
      <c r="N400" t="s">
        <v>81</v>
      </c>
      <c r="P400">
        <v>398</v>
      </c>
      <c r="Q400" t="s">
        <v>53</v>
      </c>
      <c r="R400" t="s">
        <v>54</v>
      </c>
      <c r="S400" t="s">
        <v>55</v>
      </c>
      <c r="T400" t="s">
        <v>56</v>
      </c>
      <c r="U400" t="s">
        <v>260</v>
      </c>
      <c r="V400" t="s">
        <v>101</v>
      </c>
      <c r="W400" t="s">
        <v>102</v>
      </c>
      <c r="X400">
        <v>120000</v>
      </c>
      <c r="Y400">
        <v>146000</v>
      </c>
      <c r="Z400" t="s">
        <v>56</v>
      </c>
      <c r="AA400" t="s">
        <v>129</v>
      </c>
      <c r="AB400" t="s">
        <v>61</v>
      </c>
      <c r="AC400" t="s">
        <v>54</v>
      </c>
      <c r="AD400" t="s">
        <v>94</v>
      </c>
      <c r="AE400">
        <v>584000</v>
      </c>
      <c r="AF400">
        <v>480000</v>
      </c>
      <c r="AG400">
        <v>104000</v>
      </c>
      <c r="AH400" t="b">
        <v>1</v>
      </c>
      <c r="AI400" t="b">
        <v>1</v>
      </c>
      <c r="AJ400">
        <v>0</v>
      </c>
      <c r="AK400">
        <v>1</v>
      </c>
      <c r="AL400" t="b">
        <v>1</v>
      </c>
      <c r="AM400" t="b">
        <v>0</v>
      </c>
      <c r="AN400">
        <v>584000</v>
      </c>
      <c r="AO400">
        <v>104000</v>
      </c>
      <c r="AP400">
        <v>4</v>
      </c>
      <c r="AQ400">
        <v>6</v>
      </c>
      <c r="AR400">
        <v>0</v>
      </c>
      <c r="AS400">
        <v>1</v>
      </c>
      <c r="AT400">
        <v>0</v>
      </c>
      <c r="AU400">
        <v>104000</v>
      </c>
    </row>
    <row r="401" spans="1:47" x14ac:dyDescent="0.3">
      <c r="A401" s="1">
        <v>46147</v>
      </c>
      <c r="B401" t="s">
        <v>579</v>
      </c>
      <c r="C401">
        <v>2</v>
      </c>
      <c r="D401" t="s">
        <v>48</v>
      </c>
      <c r="E401" t="s">
        <v>210</v>
      </c>
      <c r="F401" t="s">
        <v>80</v>
      </c>
      <c r="G401">
        <v>16</v>
      </c>
      <c r="H401">
        <v>16</v>
      </c>
      <c r="I401">
        <v>234000</v>
      </c>
      <c r="J401">
        <v>0.1</v>
      </c>
      <c r="K401" t="s">
        <v>51</v>
      </c>
      <c r="L401" s="1">
        <v>46154</v>
      </c>
      <c r="M401" s="1">
        <v>46153</v>
      </c>
      <c r="N401" t="s">
        <v>106</v>
      </c>
      <c r="P401">
        <v>399</v>
      </c>
      <c r="Q401" t="s">
        <v>53</v>
      </c>
      <c r="R401" t="s">
        <v>54</v>
      </c>
      <c r="S401" t="s">
        <v>55</v>
      </c>
      <c r="T401" t="s">
        <v>56</v>
      </c>
      <c r="U401" t="s">
        <v>212</v>
      </c>
      <c r="V401" t="s">
        <v>58</v>
      </c>
      <c r="W401" t="s">
        <v>59</v>
      </c>
      <c r="X401">
        <v>180000</v>
      </c>
      <c r="Y401">
        <v>234000</v>
      </c>
      <c r="Z401" t="s">
        <v>56</v>
      </c>
      <c r="AA401" t="s">
        <v>60</v>
      </c>
      <c r="AB401" t="s">
        <v>88</v>
      </c>
      <c r="AC401" t="s">
        <v>83</v>
      </c>
      <c r="AD401" t="s">
        <v>76</v>
      </c>
      <c r="AE401">
        <v>3369600</v>
      </c>
      <c r="AF401">
        <v>2880000</v>
      </c>
      <c r="AG401">
        <v>489600</v>
      </c>
      <c r="AH401" t="b">
        <v>1</v>
      </c>
      <c r="AI401" t="b">
        <v>1</v>
      </c>
      <c r="AJ401">
        <v>1</v>
      </c>
      <c r="AK401">
        <v>-1</v>
      </c>
      <c r="AL401" t="b">
        <v>1</v>
      </c>
      <c r="AM401" t="b">
        <v>0</v>
      </c>
      <c r="AN401">
        <v>3369600</v>
      </c>
      <c r="AO401">
        <v>489600</v>
      </c>
      <c r="AP401">
        <v>16</v>
      </c>
      <c r="AQ401">
        <v>16</v>
      </c>
      <c r="AR401">
        <v>1</v>
      </c>
      <c r="AS401">
        <v>1</v>
      </c>
      <c r="AT401">
        <v>0</v>
      </c>
      <c r="AU401">
        <v>489600</v>
      </c>
    </row>
    <row r="402" spans="1:47" x14ac:dyDescent="0.3">
      <c r="A402" s="1">
        <v>46194</v>
      </c>
      <c r="B402" t="s">
        <v>580</v>
      </c>
      <c r="C402">
        <v>4</v>
      </c>
      <c r="D402" t="s">
        <v>300</v>
      </c>
      <c r="E402" t="s">
        <v>91</v>
      </c>
      <c r="F402" t="s">
        <v>80</v>
      </c>
      <c r="G402">
        <v>21</v>
      </c>
      <c r="H402">
        <v>21</v>
      </c>
      <c r="I402">
        <v>2250000</v>
      </c>
      <c r="J402">
        <v>0.02</v>
      </c>
      <c r="K402" t="s">
        <v>51</v>
      </c>
      <c r="L402" s="1">
        <v>46196</v>
      </c>
      <c r="M402" s="1">
        <v>46196</v>
      </c>
      <c r="N402" t="s">
        <v>67</v>
      </c>
      <c r="P402">
        <v>400</v>
      </c>
      <c r="Q402" t="s">
        <v>301</v>
      </c>
      <c r="R402" t="s">
        <v>83</v>
      </c>
      <c r="S402" t="s">
        <v>123</v>
      </c>
      <c r="T402" t="s">
        <v>56</v>
      </c>
      <c r="U402" t="s">
        <v>93</v>
      </c>
      <c r="V402" t="s">
        <v>86</v>
      </c>
      <c r="W402" t="s">
        <v>87</v>
      </c>
      <c r="X402">
        <v>1800000</v>
      </c>
      <c r="Y402">
        <v>2250000</v>
      </c>
      <c r="Z402" t="s">
        <v>56</v>
      </c>
      <c r="AA402" t="s">
        <v>60</v>
      </c>
      <c r="AB402" t="s">
        <v>88</v>
      </c>
      <c r="AC402" t="s">
        <v>83</v>
      </c>
      <c r="AD402" t="s">
        <v>118</v>
      </c>
      <c r="AE402">
        <v>46305000</v>
      </c>
      <c r="AF402">
        <v>37800000</v>
      </c>
      <c r="AG402">
        <v>8505000</v>
      </c>
      <c r="AH402" t="b">
        <v>1</v>
      </c>
      <c r="AI402" t="b">
        <v>1</v>
      </c>
      <c r="AJ402">
        <v>1</v>
      </c>
      <c r="AK402">
        <v>0</v>
      </c>
      <c r="AL402" t="b">
        <v>1</v>
      </c>
      <c r="AM402" t="b">
        <v>0</v>
      </c>
      <c r="AN402">
        <v>46305000</v>
      </c>
      <c r="AO402">
        <v>8505000</v>
      </c>
      <c r="AP402">
        <v>21</v>
      </c>
      <c r="AQ402">
        <v>21</v>
      </c>
      <c r="AR402">
        <v>1</v>
      </c>
      <c r="AS402">
        <v>1</v>
      </c>
      <c r="AT402">
        <v>0</v>
      </c>
      <c r="AU402">
        <v>8505000</v>
      </c>
    </row>
    <row r="403" spans="1:47" x14ac:dyDescent="0.3">
      <c r="A403" s="1">
        <v>46182</v>
      </c>
      <c r="B403" t="s">
        <v>581</v>
      </c>
      <c r="C403">
        <v>4</v>
      </c>
      <c r="D403" t="s">
        <v>90</v>
      </c>
      <c r="E403" t="s">
        <v>203</v>
      </c>
      <c r="F403" t="s">
        <v>80</v>
      </c>
      <c r="G403">
        <v>24</v>
      </c>
      <c r="H403">
        <v>24</v>
      </c>
      <c r="I403">
        <v>2124000</v>
      </c>
      <c r="J403">
        <v>0</v>
      </c>
      <c r="K403" t="s">
        <v>51</v>
      </c>
      <c r="L403" s="1">
        <v>46192</v>
      </c>
      <c r="M403" s="1">
        <v>46191</v>
      </c>
      <c r="N403" t="s">
        <v>81</v>
      </c>
      <c r="P403">
        <v>401</v>
      </c>
      <c r="Q403" t="s">
        <v>92</v>
      </c>
      <c r="R403" t="s">
        <v>75</v>
      </c>
      <c r="S403" t="s">
        <v>84</v>
      </c>
      <c r="T403" t="s">
        <v>56</v>
      </c>
      <c r="U403" t="s">
        <v>204</v>
      </c>
      <c r="V403" t="s">
        <v>109</v>
      </c>
      <c r="W403" t="s">
        <v>110</v>
      </c>
      <c r="X403">
        <v>1800000</v>
      </c>
      <c r="Y403">
        <v>2124000</v>
      </c>
      <c r="Z403" t="s">
        <v>56</v>
      </c>
      <c r="AA403" t="s">
        <v>73</v>
      </c>
      <c r="AB403" t="s">
        <v>88</v>
      </c>
      <c r="AC403" t="s">
        <v>83</v>
      </c>
      <c r="AD403" t="s">
        <v>118</v>
      </c>
      <c r="AE403">
        <v>50976000</v>
      </c>
      <c r="AF403">
        <v>43200000</v>
      </c>
      <c r="AG403">
        <v>7776000</v>
      </c>
      <c r="AH403" t="b">
        <v>1</v>
      </c>
      <c r="AI403" t="b">
        <v>1</v>
      </c>
      <c r="AJ403">
        <v>1</v>
      </c>
      <c r="AK403">
        <v>-1</v>
      </c>
      <c r="AL403" t="b">
        <v>1</v>
      </c>
      <c r="AM403" t="b">
        <v>0</v>
      </c>
      <c r="AN403">
        <v>50976000</v>
      </c>
      <c r="AO403">
        <v>7776000</v>
      </c>
      <c r="AP403">
        <v>24</v>
      </c>
      <c r="AQ403">
        <v>24</v>
      </c>
      <c r="AR403">
        <v>1</v>
      </c>
      <c r="AS403">
        <v>1</v>
      </c>
      <c r="AT403">
        <v>0</v>
      </c>
      <c r="AU403">
        <v>7776000</v>
      </c>
    </row>
    <row r="404" spans="1:47" x14ac:dyDescent="0.3">
      <c r="A404" s="1">
        <v>46181</v>
      </c>
      <c r="B404" t="s">
        <v>581</v>
      </c>
      <c r="C404">
        <v>3</v>
      </c>
      <c r="D404" t="s">
        <v>171</v>
      </c>
      <c r="E404" t="s">
        <v>255</v>
      </c>
      <c r="F404" t="s">
        <v>114</v>
      </c>
      <c r="G404">
        <v>20</v>
      </c>
      <c r="H404">
        <v>20</v>
      </c>
      <c r="I404">
        <v>234000</v>
      </c>
      <c r="J404">
        <v>0</v>
      </c>
      <c r="K404" t="s">
        <v>51</v>
      </c>
      <c r="L404" s="1">
        <v>46191</v>
      </c>
      <c r="M404" s="1">
        <v>46193</v>
      </c>
      <c r="N404" t="s">
        <v>81</v>
      </c>
      <c r="P404">
        <v>402</v>
      </c>
      <c r="Q404" t="s">
        <v>172</v>
      </c>
      <c r="R404" t="s">
        <v>54</v>
      </c>
      <c r="S404" t="s">
        <v>84</v>
      </c>
      <c r="T404" t="s">
        <v>56</v>
      </c>
      <c r="U404" t="s">
        <v>257</v>
      </c>
      <c r="V404" t="s">
        <v>58</v>
      </c>
      <c r="W404" t="s">
        <v>59</v>
      </c>
      <c r="X404">
        <v>180000</v>
      </c>
      <c r="Y404">
        <v>234000</v>
      </c>
      <c r="Z404" t="s">
        <v>56</v>
      </c>
      <c r="AA404" t="s">
        <v>60</v>
      </c>
      <c r="AB404" t="s">
        <v>117</v>
      </c>
      <c r="AC404" t="s">
        <v>83</v>
      </c>
      <c r="AD404" t="s">
        <v>118</v>
      </c>
      <c r="AE404">
        <v>4680000</v>
      </c>
      <c r="AF404">
        <v>3600000</v>
      </c>
      <c r="AG404">
        <v>1080000</v>
      </c>
      <c r="AH404" t="b">
        <v>1</v>
      </c>
      <c r="AI404" t="b">
        <v>1</v>
      </c>
      <c r="AJ404">
        <v>0</v>
      </c>
      <c r="AK404">
        <v>2</v>
      </c>
      <c r="AL404" t="b">
        <v>1</v>
      </c>
      <c r="AM404" t="b">
        <v>0</v>
      </c>
      <c r="AN404">
        <v>4680000</v>
      </c>
      <c r="AO404">
        <v>1080000</v>
      </c>
      <c r="AP404">
        <v>20</v>
      </c>
      <c r="AQ404">
        <v>20</v>
      </c>
      <c r="AR404">
        <v>0</v>
      </c>
      <c r="AS404">
        <v>1</v>
      </c>
      <c r="AT404">
        <v>0</v>
      </c>
      <c r="AU404">
        <v>1080000</v>
      </c>
    </row>
    <row r="405" spans="1:47" x14ac:dyDescent="0.3">
      <c r="A405" s="1">
        <v>46075</v>
      </c>
      <c r="B405" t="s">
        <v>582</v>
      </c>
      <c r="C405">
        <v>3</v>
      </c>
      <c r="D405" t="s">
        <v>48</v>
      </c>
      <c r="E405" t="s">
        <v>273</v>
      </c>
      <c r="F405" t="s">
        <v>80</v>
      </c>
      <c r="G405">
        <v>2</v>
      </c>
      <c r="H405">
        <v>0</v>
      </c>
      <c r="I405">
        <v>2304000</v>
      </c>
      <c r="J405">
        <v>0</v>
      </c>
      <c r="K405" t="s">
        <v>51</v>
      </c>
      <c r="L405" s="1">
        <v>46078</v>
      </c>
      <c r="M405" s="1">
        <v>46078</v>
      </c>
      <c r="N405" t="s">
        <v>106</v>
      </c>
      <c r="P405">
        <v>403</v>
      </c>
      <c r="Q405" t="s">
        <v>53</v>
      </c>
      <c r="R405" t="s">
        <v>54</v>
      </c>
      <c r="S405" t="s">
        <v>55</v>
      </c>
      <c r="T405" t="s">
        <v>56</v>
      </c>
      <c r="U405" t="s">
        <v>274</v>
      </c>
      <c r="V405" t="s">
        <v>138</v>
      </c>
      <c r="W405" t="s">
        <v>139</v>
      </c>
      <c r="X405">
        <v>1800000</v>
      </c>
      <c r="Y405">
        <v>2304000</v>
      </c>
      <c r="Z405" t="s">
        <v>56</v>
      </c>
      <c r="AA405" t="s">
        <v>73</v>
      </c>
      <c r="AB405" t="s">
        <v>88</v>
      </c>
      <c r="AC405" t="s">
        <v>83</v>
      </c>
      <c r="AD405" t="s">
        <v>158</v>
      </c>
      <c r="AE405">
        <v>0</v>
      </c>
      <c r="AF405">
        <v>0</v>
      </c>
      <c r="AG405">
        <v>0</v>
      </c>
      <c r="AH405" t="b">
        <v>1</v>
      </c>
      <c r="AI405" t="b">
        <v>1</v>
      </c>
      <c r="AJ405">
        <v>1</v>
      </c>
      <c r="AK405">
        <v>0</v>
      </c>
      <c r="AL405" t="b">
        <v>1</v>
      </c>
      <c r="AM405" t="b">
        <v>0</v>
      </c>
      <c r="AN405">
        <v>0</v>
      </c>
      <c r="AO405">
        <v>0</v>
      </c>
      <c r="AP405">
        <v>0</v>
      </c>
      <c r="AQ405">
        <v>2</v>
      </c>
      <c r="AR405">
        <v>1</v>
      </c>
      <c r="AS405">
        <v>1</v>
      </c>
      <c r="AT405">
        <v>0</v>
      </c>
      <c r="AU405">
        <v>0</v>
      </c>
    </row>
    <row r="406" spans="1:47" x14ac:dyDescent="0.3">
      <c r="A406" s="1">
        <v>46095</v>
      </c>
      <c r="B406" t="s">
        <v>583</v>
      </c>
      <c r="C406">
        <v>3</v>
      </c>
      <c r="D406" t="s">
        <v>64</v>
      </c>
      <c r="E406" t="s">
        <v>206</v>
      </c>
      <c r="F406" t="s">
        <v>114</v>
      </c>
      <c r="G406">
        <v>5</v>
      </c>
      <c r="H406">
        <v>3</v>
      </c>
      <c r="I406">
        <v>648000</v>
      </c>
      <c r="J406">
        <v>0.1</v>
      </c>
      <c r="K406" t="s">
        <v>51</v>
      </c>
      <c r="L406" s="1">
        <v>46098</v>
      </c>
      <c r="M406" s="1">
        <v>46105</v>
      </c>
      <c r="N406" t="s">
        <v>106</v>
      </c>
      <c r="P406">
        <v>404</v>
      </c>
      <c r="Q406" t="s">
        <v>68</v>
      </c>
      <c r="R406" t="s">
        <v>54</v>
      </c>
      <c r="S406" t="s">
        <v>69</v>
      </c>
      <c r="T406" t="s">
        <v>56</v>
      </c>
      <c r="U406" t="s">
        <v>207</v>
      </c>
      <c r="V406" t="s">
        <v>71</v>
      </c>
      <c r="W406" t="s">
        <v>72</v>
      </c>
      <c r="X406">
        <v>480000</v>
      </c>
      <c r="Y406">
        <v>648000</v>
      </c>
      <c r="Z406" t="s">
        <v>56</v>
      </c>
      <c r="AA406" t="s">
        <v>73</v>
      </c>
      <c r="AB406" t="s">
        <v>117</v>
      </c>
      <c r="AC406" t="s">
        <v>83</v>
      </c>
      <c r="AD406" t="s">
        <v>62</v>
      </c>
      <c r="AE406">
        <v>1749600</v>
      </c>
      <c r="AF406">
        <v>1440000</v>
      </c>
      <c r="AG406">
        <v>309600</v>
      </c>
      <c r="AH406" t="b">
        <v>1</v>
      </c>
      <c r="AI406" t="b">
        <v>1</v>
      </c>
      <c r="AJ406">
        <v>0</v>
      </c>
      <c r="AK406">
        <v>7</v>
      </c>
      <c r="AL406" t="b">
        <v>1</v>
      </c>
      <c r="AM406" t="b">
        <v>0</v>
      </c>
      <c r="AN406">
        <v>1749600</v>
      </c>
      <c r="AO406">
        <v>309600</v>
      </c>
      <c r="AP406">
        <v>3</v>
      </c>
      <c r="AQ406">
        <v>5</v>
      </c>
      <c r="AR406">
        <v>0</v>
      </c>
      <c r="AS406">
        <v>1</v>
      </c>
      <c r="AT406">
        <v>0</v>
      </c>
      <c r="AU406">
        <v>309600</v>
      </c>
    </row>
    <row r="407" spans="1:47" x14ac:dyDescent="0.3">
      <c r="A407" s="1">
        <v>46027</v>
      </c>
      <c r="B407" t="s">
        <v>584</v>
      </c>
      <c r="C407">
        <v>4</v>
      </c>
      <c r="D407" t="s">
        <v>146</v>
      </c>
      <c r="E407" t="s">
        <v>136</v>
      </c>
      <c r="F407" t="s">
        <v>114</v>
      </c>
      <c r="G407">
        <v>21</v>
      </c>
      <c r="H407">
        <v>18</v>
      </c>
      <c r="I407">
        <v>2304000</v>
      </c>
      <c r="J407">
        <v>0</v>
      </c>
      <c r="K407" t="s">
        <v>51</v>
      </c>
      <c r="L407" s="1">
        <v>46029</v>
      </c>
      <c r="M407" s="1">
        <v>46029</v>
      </c>
      <c r="N407" t="s">
        <v>67</v>
      </c>
      <c r="P407">
        <v>405</v>
      </c>
      <c r="Q407" t="s">
        <v>148</v>
      </c>
      <c r="R407" t="s">
        <v>75</v>
      </c>
      <c r="S407" t="s">
        <v>69</v>
      </c>
      <c r="T407" t="s">
        <v>56</v>
      </c>
      <c r="U407" t="s">
        <v>137</v>
      </c>
      <c r="V407" t="s">
        <v>138</v>
      </c>
      <c r="W407" t="s">
        <v>139</v>
      </c>
      <c r="X407">
        <v>1800000</v>
      </c>
      <c r="Y407">
        <v>2304000</v>
      </c>
      <c r="Z407" t="s">
        <v>56</v>
      </c>
      <c r="AA407" t="s">
        <v>129</v>
      </c>
      <c r="AB407" t="s">
        <v>117</v>
      </c>
      <c r="AC407" t="s">
        <v>83</v>
      </c>
      <c r="AD407" t="s">
        <v>94</v>
      </c>
      <c r="AE407">
        <v>41472000</v>
      </c>
      <c r="AF407">
        <v>32400000</v>
      </c>
      <c r="AG407">
        <v>9072000</v>
      </c>
      <c r="AH407" t="b">
        <v>1</v>
      </c>
      <c r="AI407" t="b">
        <v>1</v>
      </c>
      <c r="AJ407">
        <v>1</v>
      </c>
      <c r="AK407">
        <v>0</v>
      </c>
      <c r="AL407" t="b">
        <v>1</v>
      </c>
      <c r="AM407" t="b">
        <v>0</v>
      </c>
      <c r="AN407">
        <v>41472000</v>
      </c>
      <c r="AO407">
        <v>9072000</v>
      </c>
      <c r="AP407">
        <v>18</v>
      </c>
      <c r="AQ407">
        <v>21</v>
      </c>
      <c r="AR407">
        <v>1</v>
      </c>
      <c r="AS407">
        <v>1</v>
      </c>
      <c r="AT407">
        <v>0</v>
      </c>
      <c r="AU407">
        <v>9072000</v>
      </c>
    </row>
    <row r="408" spans="1:47" x14ac:dyDescent="0.3">
      <c r="A408" s="1">
        <v>46166</v>
      </c>
      <c r="B408" t="s">
        <v>585</v>
      </c>
      <c r="C408">
        <v>1</v>
      </c>
      <c r="D408" t="s">
        <v>326</v>
      </c>
      <c r="E408" t="s">
        <v>210</v>
      </c>
      <c r="F408" t="s">
        <v>50</v>
      </c>
      <c r="G408">
        <v>22</v>
      </c>
      <c r="H408">
        <v>22</v>
      </c>
      <c r="I408">
        <v>234000</v>
      </c>
      <c r="J408">
        <v>0</v>
      </c>
      <c r="K408" t="s">
        <v>51</v>
      </c>
      <c r="L408" s="1">
        <v>46169</v>
      </c>
      <c r="M408" s="1">
        <v>46172</v>
      </c>
      <c r="N408" t="s">
        <v>52</v>
      </c>
      <c r="P408">
        <v>406</v>
      </c>
      <c r="Q408" t="s">
        <v>327</v>
      </c>
      <c r="R408" t="s">
        <v>54</v>
      </c>
      <c r="S408" t="s">
        <v>69</v>
      </c>
      <c r="T408" t="s">
        <v>56</v>
      </c>
      <c r="U408" t="s">
        <v>212</v>
      </c>
      <c r="V408" t="s">
        <v>58</v>
      </c>
      <c r="W408" t="s">
        <v>59</v>
      </c>
      <c r="X408">
        <v>180000</v>
      </c>
      <c r="Y408">
        <v>234000</v>
      </c>
      <c r="Z408" t="s">
        <v>56</v>
      </c>
      <c r="AA408" t="s">
        <v>60</v>
      </c>
      <c r="AB408" t="s">
        <v>61</v>
      </c>
      <c r="AC408" t="s">
        <v>54</v>
      </c>
      <c r="AD408" t="s">
        <v>76</v>
      </c>
      <c r="AE408">
        <v>5148000</v>
      </c>
      <c r="AF408">
        <v>3960000</v>
      </c>
      <c r="AG408">
        <v>1188000</v>
      </c>
      <c r="AH408" t="b">
        <v>1</v>
      </c>
      <c r="AI408" t="b">
        <v>1</v>
      </c>
      <c r="AJ408">
        <v>0</v>
      </c>
      <c r="AK408">
        <v>3</v>
      </c>
      <c r="AL408" t="b">
        <v>1</v>
      </c>
      <c r="AM408" t="b">
        <v>0</v>
      </c>
      <c r="AN408">
        <v>5148000</v>
      </c>
      <c r="AO408">
        <v>1188000</v>
      </c>
      <c r="AP408">
        <v>22</v>
      </c>
      <c r="AQ408">
        <v>22</v>
      </c>
      <c r="AR408">
        <v>0</v>
      </c>
      <c r="AS408">
        <v>1</v>
      </c>
      <c r="AT408">
        <v>0</v>
      </c>
      <c r="AU408">
        <v>1188000</v>
      </c>
    </row>
    <row r="409" spans="1:47" x14ac:dyDescent="0.3">
      <c r="A409" s="1">
        <v>46113</v>
      </c>
      <c r="B409" t="s">
        <v>272</v>
      </c>
      <c r="C409">
        <v>2</v>
      </c>
      <c r="D409" t="s">
        <v>254</v>
      </c>
      <c r="E409" t="s">
        <v>113</v>
      </c>
      <c r="F409" t="s">
        <v>114</v>
      </c>
      <c r="G409">
        <v>17</v>
      </c>
      <c r="H409">
        <v>0</v>
      </c>
      <c r="I409">
        <v>648000</v>
      </c>
      <c r="J409">
        <v>0</v>
      </c>
      <c r="K409" t="s">
        <v>127</v>
      </c>
      <c r="L409" s="1">
        <v>46120</v>
      </c>
      <c r="N409" t="s">
        <v>52</v>
      </c>
      <c r="P409">
        <v>407</v>
      </c>
      <c r="Q409" t="s">
        <v>256</v>
      </c>
      <c r="R409" t="s">
        <v>83</v>
      </c>
      <c r="S409" t="s">
        <v>69</v>
      </c>
      <c r="T409" t="s">
        <v>56</v>
      </c>
      <c r="U409" t="s">
        <v>116</v>
      </c>
      <c r="V409" t="s">
        <v>71</v>
      </c>
      <c r="W409" t="s">
        <v>72</v>
      </c>
      <c r="X409">
        <v>480000</v>
      </c>
      <c r="Y409">
        <v>648000</v>
      </c>
      <c r="Z409" t="s">
        <v>56</v>
      </c>
      <c r="AA409" t="s">
        <v>60</v>
      </c>
      <c r="AB409" t="s">
        <v>117</v>
      </c>
      <c r="AC409" t="s">
        <v>83</v>
      </c>
      <c r="AD409" t="s">
        <v>130</v>
      </c>
      <c r="AE409">
        <v>0</v>
      </c>
      <c r="AG409">
        <v>0</v>
      </c>
      <c r="AH409" t="b">
        <v>1</v>
      </c>
      <c r="AI409" t="b">
        <v>0</v>
      </c>
      <c r="AL409" t="b">
        <v>0</v>
      </c>
      <c r="AM409" t="b">
        <v>0</v>
      </c>
      <c r="AN409">
        <v>0</v>
      </c>
      <c r="AO409">
        <v>0</v>
      </c>
      <c r="AP409">
        <v>0</v>
      </c>
      <c r="AQ409">
        <v>0</v>
      </c>
      <c r="AR409">
        <v>0</v>
      </c>
      <c r="AS409">
        <v>0</v>
      </c>
      <c r="AT409">
        <v>0</v>
      </c>
      <c r="AU409">
        <v>0</v>
      </c>
    </row>
    <row r="410" spans="1:47" x14ac:dyDescent="0.3">
      <c r="A410" s="1">
        <v>46080</v>
      </c>
      <c r="B410" t="s">
        <v>586</v>
      </c>
      <c r="C410">
        <v>3</v>
      </c>
      <c r="D410" t="s">
        <v>151</v>
      </c>
      <c r="E410" t="s">
        <v>348</v>
      </c>
      <c r="F410" t="s">
        <v>114</v>
      </c>
      <c r="G410">
        <v>25</v>
      </c>
      <c r="H410">
        <v>22</v>
      </c>
      <c r="I410">
        <v>566000</v>
      </c>
      <c r="J410">
        <v>0.1</v>
      </c>
      <c r="K410" t="s">
        <v>51</v>
      </c>
      <c r="L410" s="1">
        <v>46090</v>
      </c>
      <c r="M410" s="1">
        <v>46090</v>
      </c>
      <c r="N410" t="s">
        <v>67</v>
      </c>
      <c r="P410">
        <v>408</v>
      </c>
      <c r="Q410" t="s">
        <v>153</v>
      </c>
      <c r="R410" t="s">
        <v>75</v>
      </c>
      <c r="S410" t="s">
        <v>69</v>
      </c>
      <c r="T410" t="s">
        <v>56</v>
      </c>
      <c r="U410" t="s">
        <v>349</v>
      </c>
      <c r="V410" t="s">
        <v>109</v>
      </c>
      <c r="W410" t="s">
        <v>110</v>
      </c>
      <c r="X410">
        <v>480000</v>
      </c>
      <c r="Y410">
        <v>566000</v>
      </c>
      <c r="Z410" t="s">
        <v>56</v>
      </c>
      <c r="AA410" t="s">
        <v>60</v>
      </c>
      <c r="AB410" t="s">
        <v>117</v>
      </c>
      <c r="AC410" t="s">
        <v>83</v>
      </c>
      <c r="AD410" t="s">
        <v>158</v>
      </c>
      <c r="AE410">
        <v>11206800</v>
      </c>
      <c r="AF410">
        <v>10560000</v>
      </c>
      <c r="AG410">
        <v>646800</v>
      </c>
      <c r="AH410" t="b">
        <v>1</v>
      </c>
      <c r="AI410" t="b">
        <v>1</v>
      </c>
      <c r="AJ410">
        <v>1</v>
      </c>
      <c r="AK410">
        <v>0</v>
      </c>
      <c r="AL410" t="b">
        <v>1</v>
      </c>
      <c r="AM410" t="b">
        <v>0</v>
      </c>
      <c r="AN410">
        <v>11206800</v>
      </c>
      <c r="AO410">
        <v>646800</v>
      </c>
      <c r="AP410">
        <v>22</v>
      </c>
      <c r="AQ410">
        <v>25</v>
      </c>
      <c r="AR410">
        <v>1</v>
      </c>
      <c r="AS410">
        <v>1</v>
      </c>
      <c r="AT410">
        <v>0</v>
      </c>
      <c r="AU410">
        <v>646800</v>
      </c>
    </row>
    <row r="411" spans="1:47" x14ac:dyDescent="0.3">
      <c r="A411" s="1">
        <v>46084</v>
      </c>
      <c r="B411" t="s">
        <v>587</v>
      </c>
      <c r="C411">
        <v>4</v>
      </c>
      <c r="D411" t="s">
        <v>330</v>
      </c>
      <c r="E411" t="s">
        <v>255</v>
      </c>
      <c r="F411" t="s">
        <v>66</v>
      </c>
      <c r="G411">
        <v>35</v>
      </c>
      <c r="H411">
        <v>35</v>
      </c>
      <c r="I411">
        <v>234000</v>
      </c>
      <c r="J411">
        <v>0.08</v>
      </c>
      <c r="K411" t="s">
        <v>51</v>
      </c>
      <c r="L411" s="1">
        <v>46091</v>
      </c>
      <c r="M411" s="1">
        <v>46094</v>
      </c>
      <c r="N411" t="s">
        <v>81</v>
      </c>
      <c r="P411">
        <v>409</v>
      </c>
      <c r="Q411" t="s">
        <v>331</v>
      </c>
      <c r="R411" t="s">
        <v>83</v>
      </c>
      <c r="S411" t="s">
        <v>55</v>
      </c>
      <c r="T411" t="s">
        <v>56</v>
      </c>
      <c r="U411" t="s">
        <v>257</v>
      </c>
      <c r="V411" t="s">
        <v>58</v>
      </c>
      <c r="W411" t="s">
        <v>59</v>
      </c>
      <c r="X411">
        <v>180000</v>
      </c>
      <c r="Y411">
        <v>234000</v>
      </c>
      <c r="Z411" t="s">
        <v>56</v>
      </c>
      <c r="AA411" t="s">
        <v>60</v>
      </c>
      <c r="AB411" t="s">
        <v>74</v>
      </c>
      <c r="AC411" t="s">
        <v>75</v>
      </c>
      <c r="AD411" t="s">
        <v>62</v>
      </c>
      <c r="AE411">
        <v>7534800</v>
      </c>
      <c r="AF411">
        <v>6300000</v>
      </c>
      <c r="AG411">
        <v>1234800</v>
      </c>
      <c r="AH411" t="b">
        <v>1</v>
      </c>
      <c r="AI411" t="b">
        <v>1</v>
      </c>
      <c r="AJ411">
        <v>0</v>
      </c>
      <c r="AK411">
        <v>3</v>
      </c>
      <c r="AL411" t="b">
        <v>1</v>
      </c>
      <c r="AM411" t="b">
        <v>0</v>
      </c>
      <c r="AN411">
        <v>7534800</v>
      </c>
      <c r="AO411">
        <v>1234800</v>
      </c>
      <c r="AP411">
        <v>35</v>
      </c>
      <c r="AQ411">
        <v>35</v>
      </c>
      <c r="AR411">
        <v>0</v>
      </c>
      <c r="AS411">
        <v>1</v>
      </c>
      <c r="AT411">
        <v>0</v>
      </c>
      <c r="AU411">
        <v>1234800</v>
      </c>
    </row>
    <row r="412" spans="1:47" x14ac:dyDescent="0.3">
      <c r="A412" s="1">
        <v>46058</v>
      </c>
      <c r="B412" t="s">
        <v>588</v>
      </c>
      <c r="C412">
        <v>2</v>
      </c>
      <c r="D412" t="s">
        <v>174</v>
      </c>
      <c r="E412" t="s">
        <v>49</v>
      </c>
      <c r="F412" t="s">
        <v>80</v>
      </c>
      <c r="G412">
        <v>21</v>
      </c>
      <c r="H412">
        <v>18</v>
      </c>
      <c r="I412">
        <v>1170000</v>
      </c>
      <c r="J412">
        <v>0</v>
      </c>
      <c r="K412" t="s">
        <v>51</v>
      </c>
      <c r="L412" s="1">
        <v>46060</v>
      </c>
      <c r="M412" s="1">
        <v>46060</v>
      </c>
      <c r="N412" t="s">
        <v>81</v>
      </c>
      <c r="P412">
        <v>410</v>
      </c>
      <c r="Q412" t="s">
        <v>176</v>
      </c>
      <c r="R412" t="s">
        <v>83</v>
      </c>
      <c r="S412" t="s">
        <v>69</v>
      </c>
      <c r="T412" t="s">
        <v>56</v>
      </c>
      <c r="U412" t="s">
        <v>57</v>
      </c>
      <c r="V412" t="s">
        <v>58</v>
      </c>
      <c r="W412" t="s">
        <v>59</v>
      </c>
      <c r="X412">
        <v>900000</v>
      </c>
      <c r="Y412">
        <v>1170000</v>
      </c>
      <c r="Z412" t="s">
        <v>56</v>
      </c>
      <c r="AA412" t="s">
        <v>60</v>
      </c>
      <c r="AB412" t="s">
        <v>88</v>
      </c>
      <c r="AC412" t="s">
        <v>83</v>
      </c>
      <c r="AD412" t="s">
        <v>158</v>
      </c>
      <c r="AE412">
        <v>21060000</v>
      </c>
      <c r="AF412">
        <v>16200000</v>
      </c>
      <c r="AG412">
        <v>4860000</v>
      </c>
      <c r="AH412" t="b">
        <v>1</v>
      </c>
      <c r="AI412" t="b">
        <v>1</v>
      </c>
      <c r="AJ412">
        <v>1</v>
      </c>
      <c r="AK412">
        <v>0</v>
      </c>
      <c r="AL412" t="b">
        <v>1</v>
      </c>
      <c r="AM412" t="b">
        <v>0</v>
      </c>
      <c r="AN412">
        <v>21060000</v>
      </c>
      <c r="AO412">
        <v>4860000</v>
      </c>
      <c r="AP412">
        <v>18</v>
      </c>
      <c r="AQ412">
        <v>21</v>
      </c>
      <c r="AR412">
        <v>1</v>
      </c>
      <c r="AS412">
        <v>1</v>
      </c>
      <c r="AT412">
        <v>0</v>
      </c>
      <c r="AU412">
        <v>4860000</v>
      </c>
    </row>
    <row r="413" spans="1:47" x14ac:dyDescent="0.3">
      <c r="A413" s="1">
        <v>46030</v>
      </c>
      <c r="B413" t="s">
        <v>589</v>
      </c>
      <c r="C413">
        <v>4</v>
      </c>
      <c r="D413" t="s">
        <v>96</v>
      </c>
      <c r="E413" t="s">
        <v>378</v>
      </c>
      <c r="F413" t="s">
        <v>66</v>
      </c>
      <c r="G413">
        <v>18</v>
      </c>
      <c r="H413">
        <v>18</v>
      </c>
      <c r="I413">
        <v>793000</v>
      </c>
      <c r="J413">
        <v>0</v>
      </c>
      <c r="K413" t="s">
        <v>51</v>
      </c>
      <c r="L413" s="1">
        <v>46032</v>
      </c>
      <c r="M413" s="1">
        <v>46031</v>
      </c>
      <c r="N413" t="s">
        <v>52</v>
      </c>
      <c r="P413">
        <v>411</v>
      </c>
      <c r="Q413" t="s">
        <v>99</v>
      </c>
      <c r="R413" t="s">
        <v>75</v>
      </c>
      <c r="S413" t="s">
        <v>55</v>
      </c>
      <c r="T413" t="s">
        <v>56</v>
      </c>
      <c r="U413" t="s">
        <v>380</v>
      </c>
      <c r="V413" t="s">
        <v>101</v>
      </c>
      <c r="W413" t="s">
        <v>102</v>
      </c>
      <c r="X413">
        <v>650000</v>
      </c>
      <c r="Y413">
        <v>793000</v>
      </c>
      <c r="Z413" t="s">
        <v>56</v>
      </c>
      <c r="AA413" t="s">
        <v>129</v>
      </c>
      <c r="AB413" t="s">
        <v>74</v>
      </c>
      <c r="AC413" t="s">
        <v>75</v>
      </c>
      <c r="AD413" t="s">
        <v>94</v>
      </c>
      <c r="AE413">
        <v>14274000</v>
      </c>
      <c r="AF413">
        <v>11700000</v>
      </c>
      <c r="AG413">
        <v>2574000</v>
      </c>
      <c r="AH413" t="b">
        <v>1</v>
      </c>
      <c r="AI413" t="b">
        <v>1</v>
      </c>
      <c r="AJ413">
        <v>1</v>
      </c>
      <c r="AK413">
        <v>-1</v>
      </c>
      <c r="AL413" t="b">
        <v>1</v>
      </c>
      <c r="AM413" t="b">
        <v>0</v>
      </c>
      <c r="AN413">
        <v>14274000</v>
      </c>
      <c r="AO413">
        <v>2574000</v>
      </c>
      <c r="AP413">
        <v>18</v>
      </c>
      <c r="AQ413">
        <v>18</v>
      </c>
      <c r="AR413">
        <v>1</v>
      </c>
      <c r="AS413">
        <v>1</v>
      </c>
      <c r="AT413">
        <v>0</v>
      </c>
      <c r="AU413">
        <v>2574000</v>
      </c>
    </row>
    <row r="414" spans="1:47" x14ac:dyDescent="0.3">
      <c r="A414" s="1">
        <v>46178</v>
      </c>
      <c r="B414" t="s">
        <v>590</v>
      </c>
      <c r="C414">
        <v>2</v>
      </c>
      <c r="D414" t="s">
        <v>146</v>
      </c>
      <c r="E414" t="s">
        <v>97</v>
      </c>
      <c r="F414" t="s">
        <v>50</v>
      </c>
      <c r="G414">
        <v>6</v>
      </c>
      <c r="H414">
        <v>6</v>
      </c>
      <c r="I414">
        <v>427000</v>
      </c>
      <c r="J414">
        <v>0.08</v>
      </c>
      <c r="K414" t="s">
        <v>51</v>
      </c>
      <c r="L414" s="1">
        <v>46185</v>
      </c>
      <c r="M414" s="1">
        <v>46186</v>
      </c>
      <c r="N414" t="s">
        <v>52</v>
      </c>
      <c r="P414">
        <v>412</v>
      </c>
      <c r="Q414" t="s">
        <v>148</v>
      </c>
      <c r="R414" t="s">
        <v>75</v>
      </c>
      <c r="S414" t="s">
        <v>69</v>
      </c>
      <c r="T414" t="s">
        <v>56</v>
      </c>
      <c r="U414" t="s">
        <v>100</v>
      </c>
      <c r="V414" t="s">
        <v>101</v>
      </c>
      <c r="W414" t="s">
        <v>102</v>
      </c>
      <c r="X414">
        <v>350000</v>
      </c>
      <c r="Y414">
        <v>427000</v>
      </c>
      <c r="Z414" t="s">
        <v>56</v>
      </c>
      <c r="AA414" t="s">
        <v>73</v>
      </c>
      <c r="AB414" t="s">
        <v>61</v>
      </c>
      <c r="AC414" t="s">
        <v>54</v>
      </c>
      <c r="AD414" t="s">
        <v>118</v>
      </c>
      <c r="AE414">
        <v>2357040</v>
      </c>
      <c r="AF414">
        <v>2100000</v>
      </c>
      <c r="AG414">
        <v>257040</v>
      </c>
      <c r="AH414" t="b">
        <v>1</v>
      </c>
      <c r="AI414" t="b">
        <v>1</v>
      </c>
      <c r="AJ414">
        <v>0</v>
      </c>
      <c r="AK414">
        <v>1</v>
      </c>
      <c r="AL414" t="b">
        <v>1</v>
      </c>
      <c r="AM414" t="b">
        <v>0</v>
      </c>
      <c r="AN414">
        <v>2357040</v>
      </c>
      <c r="AO414">
        <v>257040</v>
      </c>
      <c r="AP414">
        <v>6</v>
      </c>
      <c r="AQ414">
        <v>6</v>
      </c>
      <c r="AR414">
        <v>0</v>
      </c>
      <c r="AS414">
        <v>1</v>
      </c>
      <c r="AT414">
        <v>0</v>
      </c>
      <c r="AU414">
        <v>257040</v>
      </c>
    </row>
    <row r="415" spans="1:47" x14ac:dyDescent="0.3">
      <c r="A415" s="1">
        <v>46070</v>
      </c>
      <c r="B415" t="s">
        <v>542</v>
      </c>
      <c r="C415">
        <v>4</v>
      </c>
      <c r="D415" t="s">
        <v>215</v>
      </c>
      <c r="E415" t="s">
        <v>348</v>
      </c>
      <c r="F415" t="s">
        <v>80</v>
      </c>
      <c r="G415">
        <v>13</v>
      </c>
      <c r="H415">
        <v>13</v>
      </c>
      <c r="I415">
        <v>566000</v>
      </c>
      <c r="J415">
        <v>0.02</v>
      </c>
      <c r="K415" t="s">
        <v>51</v>
      </c>
      <c r="L415" s="1">
        <v>46075</v>
      </c>
      <c r="M415" s="1">
        <v>46075</v>
      </c>
      <c r="N415" t="s">
        <v>81</v>
      </c>
      <c r="P415">
        <v>413</v>
      </c>
      <c r="Q415" t="s">
        <v>217</v>
      </c>
      <c r="R415" t="s">
        <v>54</v>
      </c>
      <c r="S415" t="s">
        <v>69</v>
      </c>
      <c r="T415" t="s">
        <v>218</v>
      </c>
      <c r="U415" t="s">
        <v>349</v>
      </c>
      <c r="V415" t="s">
        <v>109</v>
      </c>
      <c r="W415" t="s">
        <v>110</v>
      </c>
      <c r="X415">
        <v>480000</v>
      </c>
      <c r="Y415">
        <v>566000</v>
      </c>
      <c r="Z415" t="s">
        <v>56</v>
      </c>
      <c r="AA415" t="s">
        <v>60</v>
      </c>
      <c r="AB415" t="s">
        <v>88</v>
      </c>
      <c r="AC415" t="s">
        <v>83</v>
      </c>
      <c r="AD415" t="s">
        <v>158</v>
      </c>
      <c r="AE415">
        <v>7210840</v>
      </c>
      <c r="AF415">
        <v>6240000</v>
      </c>
      <c r="AG415">
        <v>970840</v>
      </c>
      <c r="AH415" t="b">
        <v>1</v>
      </c>
      <c r="AI415" t="b">
        <v>1</v>
      </c>
      <c r="AJ415">
        <v>1</v>
      </c>
      <c r="AK415">
        <v>0</v>
      </c>
      <c r="AL415" t="b">
        <v>1</v>
      </c>
      <c r="AM415" t="b">
        <v>0</v>
      </c>
      <c r="AN415">
        <v>7210840</v>
      </c>
      <c r="AO415">
        <v>970840</v>
      </c>
      <c r="AP415">
        <v>13</v>
      </c>
      <c r="AQ415">
        <v>13</v>
      </c>
      <c r="AR415">
        <v>1</v>
      </c>
      <c r="AS415">
        <v>1</v>
      </c>
      <c r="AT415">
        <v>0</v>
      </c>
      <c r="AU415">
        <v>970840</v>
      </c>
    </row>
    <row r="416" spans="1:47" x14ac:dyDescent="0.3">
      <c r="A416" s="1">
        <v>46075</v>
      </c>
      <c r="B416" t="s">
        <v>591</v>
      </c>
      <c r="C416">
        <v>2</v>
      </c>
      <c r="D416" t="s">
        <v>229</v>
      </c>
      <c r="E416" t="s">
        <v>175</v>
      </c>
      <c r="F416" t="s">
        <v>50</v>
      </c>
      <c r="G416">
        <v>30</v>
      </c>
      <c r="H416">
        <v>0</v>
      </c>
      <c r="I416">
        <v>1098000</v>
      </c>
      <c r="J416">
        <v>0.05</v>
      </c>
      <c r="K416" t="s">
        <v>127</v>
      </c>
      <c r="L416" s="1">
        <v>46080</v>
      </c>
      <c r="N416" t="s">
        <v>106</v>
      </c>
      <c r="P416">
        <v>414</v>
      </c>
      <c r="Q416" t="s">
        <v>231</v>
      </c>
      <c r="R416" t="s">
        <v>83</v>
      </c>
      <c r="S416" t="s">
        <v>123</v>
      </c>
      <c r="T416" t="s">
        <v>56</v>
      </c>
      <c r="U416" t="s">
        <v>177</v>
      </c>
      <c r="V416" t="s">
        <v>101</v>
      </c>
      <c r="W416" t="s">
        <v>102</v>
      </c>
      <c r="X416">
        <v>900000</v>
      </c>
      <c r="Y416">
        <v>1098000</v>
      </c>
      <c r="Z416" t="s">
        <v>56</v>
      </c>
      <c r="AA416" t="s">
        <v>129</v>
      </c>
      <c r="AB416" t="s">
        <v>61</v>
      </c>
      <c r="AC416" t="s">
        <v>54</v>
      </c>
      <c r="AD416" t="s">
        <v>158</v>
      </c>
      <c r="AE416">
        <v>0</v>
      </c>
      <c r="AG416">
        <v>0</v>
      </c>
      <c r="AH416" t="b">
        <v>1</v>
      </c>
      <c r="AI416" t="b">
        <v>0</v>
      </c>
      <c r="AL416" t="b">
        <v>0</v>
      </c>
      <c r="AM416" t="b">
        <v>0</v>
      </c>
      <c r="AN416">
        <v>0</v>
      </c>
      <c r="AO416">
        <v>0</v>
      </c>
      <c r="AP416">
        <v>0</v>
      </c>
      <c r="AQ416">
        <v>0</v>
      </c>
      <c r="AR416">
        <v>0</v>
      </c>
      <c r="AS416">
        <v>0</v>
      </c>
      <c r="AT416">
        <v>0</v>
      </c>
      <c r="AU416">
        <v>0</v>
      </c>
    </row>
    <row r="417" spans="1:47" x14ac:dyDescent="0.3">
      <c r="A417" s="1">
        <v>46178</v>
      </c>
      <c r="B417" t="s">
        <v>592</v>
      </c>
      <c r="C417">
        <v>3</v>
      </c>
      <c r="D417" t="s">
        <v>151</v>
      </c>
      <c r="E417" t="s">
        <v>189</v>
      </c>
      <c r="F417" t="s">
        <v>114</v>
      </c>
      <c r="G417">
        <v>34</v>
      </c>
      <c r="H417">
        <v>34</v>
      </c>
      <c r="I417">
        <v>312000</v>
      </c>
      <c r="J417">
        <v>0</v>
      </c>
      <c r="K417" t="s">
        <v>51</v>
      </c>
      <c r="L417" s="1">
        <v>46185</v>
      </c>
      <c r="M417" s="1">
        <v>46187</v>
      </c>
      <c r="N417" t="s">
        <v>67</v>
      </c>
      <c r="P417">
        <v>415</v>
      </c>
      <c r="Q417" t="s">
        <v>153</v>
      </c>
      <c r="R417" t="s">
        <v>75</v>
      </c>
      <c r="S417" t="s">
        <v>69</v>
      </c>
      <c r="T417" t="s">
        <v>56</v>
      </c>
      <c r="U417" t="s">
        <v>191</v>
      </c>
      <c r="V417" t="s">
        <v>86</v>
      </c>
      <c r="W417" t="s">
        <v>87</v>
      </c>
      <c r="X417">
        <v>250000</v>
      </c>
      <c r="Y417">
        <v>312000</v>
      </c>
      <c r="Z417" t="s">
        <v>134</v>
      </c>
      <c r="AA417" t="s">
        <v>73</v>
      </c>
      <c r="AB417" t="s">
        <v>117</v>
      </c>
      <c r="AC417" t="s">
        <v>83</v>
      </c>
      <c r="AD417" t="s">
        <v>118</v>
      </c>
      <c r="AE417">
        <v>10608000</v>
      </c>
      <c r="AF417">
        <v>8500000</v>
      </c>
      <c r="AG417">
        <v>2108000</v>
      </c>
      <c r="AH417" t="b">
        <v>1</v>
      </c>
      <c r="AI417" t="b">
        <v>1</v>
      </c>
      <c r="AJ417">
        <v>0</v>
      </c>
      <c r="AK417">
        <v>2</v>
      </c>
      <c r="AL417" t="b">
        <v>1</v>
      </c>
      <c r="AM417" t="b">
        <v>0</v>
      </c>
      <c r="AN417">
        <v>10608000</v>
      </c>
      <c r="AO417">
        <v>2108000</v>
      </c>
      <c r="AP417">
        <v>34</v>
      </c>
      <c r="AQ417">
        <v>34</v>
      </c>
      <c r="AR417">
        <v>0</v>
      </c>
      <c r="AS417">
        <v>1</v>
      </c>
      <c r="AT417">
        <v>0</v>
      </c>
      <c r="AU417">
        <v>2108000</v>
      </c>
    </row>
    <row r="418" spans="1:47" x14ac:dyDescent="0.3">
      <c r="A418" s="1">
        <v>46033</v>
      </c>
      <c r="B418" t="s">
        <v>593</v>
      </c>
      <c r="C418">
        <v>4</v>
      </c>
      <c r="D418" t="s">
        <v>223</v>
      </c>
      <c r="E418" t="s">
        <v>220</v>
      </c>
      <c r="F418" t="s">
        <v>80</v>
      </c>
      <c r="G418">
        <v>19</v>
      </c>
      <c r="H418">
        <v>19</v>
      </c>
      <c r="I418">
        <v>234000</v>
      </c>
      <c r="J418">
        <v>0.05</v>
      </c>
      <c r="K418" t="s">
        <v>51</v>
      </c>
      <c r="L418" s="1">
        <v>46035</v>
      </c>
      <c r="M418" s="1">
        <v>46036</v>
      </c>
      <c r="N418" t="s">
        <v>52</v>
      </c>
      <c r="P418">
        <v>416</v>
      </c>
      <c r="Q418" t="s">
        <v>224</v>
      </c>
      <c r="R418" t="s">
        <v>83</v>
      </c>
      <c r="S418" t="s">
        <v>55</v>
      </c>
      <c r="T418" t="s">
        <v>56</v>
      </c>
      <c r="U418" t="s">
        <v>221</v>
      </c>
      <c r="V418" t="s">
        <v>58</v>
      </c>
      <c r="W418" t="s">
        <v>59</v>
      </c>
      <c r="X418">
        <v>180000</v>
      </c>
      <c r="Y418">
        <v>234000</v>
      </c>
      <c r="Z418" t="s">
        <v>56</v>
      </c>
      <c r="AA418" t="s">
        <v>60</v>
      </c>
      <c r="AB418" t="s">
        <v>88</v>
      </c>
      <c r="AC418" t="s">
        <v>83</v>
      </c>
      <c r="AD418" t="s">
        <v>94</v>
      </c>
      <c r="AE418">
        <v>4223700</v>
      </c>
      <c r="AF418">
        <v>3420000</v>
      </c>
      <c r="AG418">
        <v>803700</v>
      </c>
      <c r="AH418" t="b">
        <v>1</v>
      </c>
      <c r="AI418" t="b">
        <v>1</v>
      </c>
      <c r="AJ418">
        <v>0</v>
      </c>
      <c r="AK418">
        <v>1</v>
      </c>
      <c r="AL418" t="b">
        <v>1</v>
      </c>
      <c r="AM418" t="b">
        <v>0</v>
      </c>
      <c r="AN418">
        <v>4223700</v>
      </c>
      <c r="AO418">
        <v>803700</v>
      </c>
      <c r="AP418">
        <v>19</v>
      </c>
      <c r="AQ418">
        <v>19</v>
      </c>
      <c r="AR418">
        <v>0</v>
      </c>
      <c r="AS418">
        <v>1</v>
      </c>
      <c r="AT418">
        <v>0</v>
      </c>
      <c r="AU418">
        <v>803700</v>
      </c>
    </row>
    <row r="419" spans="1:47" x14ac:dyDescent="0.3">
      <c r="A419" s="1">
        <v>46179</v>
      </c>
      <c r="B419" t="s">
        <v>594</v>
      </c>
      <c r="C419">
        <v>2</v>
      </c>
      <c r="D419" t="s">
        <v>182</v>
      </c>
      <c r="E419" t="s">
        <v>160</v>
      </c>
      <c r="F419" t="s">
        <v>114</v>
      </c>
      <c r="G419">
        <v>33</v>
      </c>
      <c r="H419">
        <v>30</v>
      </c>
      <c r="I419">
        <v>1125000</v>
      </c>
      <c r="J419">
        <v>0.08</v>
      </c>
      <c r="K419" t="s">
        <v>51</v>
      </c>
      <c r="L419" s="1">
        <v>46181</v>
      </c>
      <c r="M419" s="1">
        <v>46182</v>
      </c>
      <c r="N419" t="s">
        <v>67</v>
      </c>
      <c r="P419">
        <v>417</v>
      </c>
      <c r="Q419" t="s">
        <v>183</v>
      </c>
      <c r="R419" t="s">
        <v>75</v>
      </c>
      <c r="S419" t="s">
        <v>69</v>
      </c>
      <c r="T419" t="s">
        <v>56</v>
      </c>
      <c r="U419" t="s">
        <v>161</v>
      </c>
      <c r="V419" t="s">
        <v>86</v>
      </c>
      <c r="W419" t="s">
        <v>87</v>
      </c>
      <c r="X419">
        <v>900000</v>
      </c>
      <c r="Y419">
        <v>1125000</v>
      </c>
      <c r="Z419" t="s">
        <v>56</v>
      </c>
      <c r="AA419" t="s">
        <v>60</v>
      </c>
      <c r="AB419" t="s">
        <v>117</v>
      </c>
      <c r="AC419" t="s">
        <v>83</v>
      </c>
      <c r="AD419" t="s">
        <v>118</v>
      </c>
      <c r="AE419">
        <v>31050000</v>
      </c>
      <c r="AF419">
        <v>27000000</v>
      </c>
      <c r="AG419">
        <v>4050000</v>
      </c>
      <c r="AH419" t="b">
        <v>1</v>
      </c>
      <c r="AI419" t="b">
        <v>1</v>
      </c>
      <c r="AJ419">
        <v>0</v>
      </c>
      <c r="AK419">
        <v>1</v>
      </c>
      <c r="AL419" t="b">
        <v>1</v>
      </c>
      <c r="AM419" t="b">
        <v>0</v>
      </c>
      <c r="AN419">
        <v>31050000</v>
      </c>
      <c r="AO419">
        <v>4050000</v>
      </c>
      <c r="AP419">
        <v>30</v>
      </c>
      <c r="AQ419">
        <v>33</v>
      </c>
      <c r="AR419">
        <v>0</v>
      </c>
      <c r="AS419">
        <v>1</v>
      </c>
      <c r="AT419">
        <v>0</v>
      </c>
      <c r="AU419">
        <v>4050000</v>
      </c>
    </row>
    <row r="420" spans="1:47" x14ac:dyDescent="0.3">
      <c r="A420" s="1">
        <v>46105</v>
      </c>
      <c r="B420" t="s">
        <v>462</v>
      </c>
      <c r="C420">
        <v>1</v>
      </c>
      <c r="D420" t="s">
        <v>269</v>
      </c>
      <c r="E420" t="s">
        <v>206</v>
      </c>
      <c r="F420" t="s">
        <v>80</v>
      </c>
      <c r="G420">
        <v>30</v>
      </c>
      <c r="H420">
        <v>28</v>
      </c>
      <c r="I420">
        <v>648000</v>
      </c>
      <c r="J420">
        <v>0.1</v>
      </c>
      <c r="K420" t="s">
        <v>51</v>
      </c>
      <c r="L420" s="1">
        <v>46115</v>
      </c>
      <c r="M420" s="1">
        <v>46122</v>
      </c>
      <c r="N420" t="s">
        <v>81</v>
      </c>
      <c r="P420">
        <v>418</v>
      </c>
      <c r="Q420" t="s">
        <v>270</v>
      </c>
      <c r="R420" t="s">
        <v>83</v>
      </c>
      <c r="S420" t="s">
        <v>55</v>
      </c>
      <c r="T420" t="s">
        <v>56</v>
      </c>
      <c r="U420" t="s">
        <v>207</v>
      </c>
      <c r="V420" t="s">
        <v>71</v>
      </c>
      <c r="W420" t="s">
        <v>72</v>
      </c>
      <c r="X420">
        <v>480000</v>
      </c>
      <c r="Y420">
        <v>648000</v>
      </c>
      <c r="Z420" t="s">
        <v>56</v>
      </c>
      <c r="AA420" t="s">
        <v>73</v>
      </c>
      <c r="AB420" t="s">
        <v>88</v>
      </c>
      <c r="AC420" t="s">
        <v>83</v>
      </c>
      <c r="AD420" t="s">
        <v>62</v>
      </c>
      <c r="AE420">
        <v>16329600</v>
      </c>
      <c r="AF420">
        <v>13440000</v>
      </c>
      <c r="AG420">
        <v>2889600</v>
      </c>
      <c r="AH420" t="b">
        <v>1</v>
      </c>
      <c r="AI420" t="b">
        <v>1</v>
      </c>
      <c r="AJ420">
        <v>0</v>
      </c>
      <c r="AK420">
        <v>7</v>
      </c>
      <c r="AL420" t="b">
        <v>1</v>
      </c>
      <c r="AM420" t="b">
        <v>0</v>
      </c>
      <c r="AN420">
        <v>16329600</v>
      </c>
      <c r="AO420">
        <v>2889600</v>
      </c>
      <c r="AP420">
        <v>28</v>
      </c>
      <c r="AQ420">
        <v>30</v>
      </c>
      <c r="AR420">
        <v>0</v>
      </c>
      <c r="AS420">
        <v>1</v>
      </c>
      <c r="AT420">
        <v>0</v>
      </c>
      <c r="AU420">
        <v>2889600</v>
      </c>
    </row>
    <row r="421" spans="1:47" x14ac:dyDescent="0.3">
      <c r="A421" s="1">
        <v>46054</v>
      </c>
      <c r="B421" t="s">
        <v>502</v>
      </c>
      <c r="C421">
        <v>1</v>
      </c>
      <c r="D421" t="s">
        <v>229</v>
      </c>
      <c r="E421" t="s">
        <v>242</v>
      </c>
      <c r="F421" t="s">
        <v>114</v>
      </c>
      <c r="G421">
        <v>34</v>
      </c>
      <c r="H421">
        <v>32</v>
      </c>
      <c r="I421">
        <v>1620000</v>
      </c>
      <c r="J421">
        <v>0.08</v>
      </c>
      <c r="K421" t="s">
        <v>98</v>
      </c>
      <c r="L421" s="1">
        <v>46056</v>
      </c>
      <c r="N421" t="s">
        <v>67</v>
      </c>
      <c r="P421">
        <v>419</v>
      </c>
      <c r="Q421" t="s">
        <v>231</v>
      </c>
      <c r="R421" t="s">
        <v>83</v>
      </c>
      <c r="S421" t="s">
        <v>123</v>
      </c>
      <c r="T421" t="s">
        <v>56</v>
      </c>
      <c r="U421" t="s">
        <v>243</v>
      </c>
      <c r="V421" t="s">
        <v>71</v>
      </c>
      <c r="W421" t="s">
        <v>72</v>
      </c>
      <c r="X421">
        <v>1200000</v>
      </c>
      <c r="Y421">
        <v>1620000</v>
      </c>
      <c r="Z421" t="s">
        <v>56</v>
      </c>
      <c r="AA421" t="s">
        <v>73</v>
      </c>
      <c r="AB421" t="s">
        <v>117</v>
      </c>
      <c r="AC421" t="s">
        <v>83</v>
      </c>
      <c r="AD421" t="s">
        <v>158</v>
      </c>
      <c r="AE421">
        <v>47692800</v>
      </c>
      <c r="AF421">
        <v>38400000</v>
      </c>
      <c r="AG421">
        <v>9292800</v>
      </c>
      <c r="AH421" t="b">
        <v>1</v>
      </c>
      <c r="AI421" t="b">
        <v>0</v>
      </c>
      <c r="AL421" t="b">
        <v>1</v>
      </c>
      <c r="AM421" t="b">
        <v>0</v>
      </c>
      <c r="AN421">
        <v>47692800</v>
      </c>
      <c r="AO421">
        <v>9292800</v>
      </c>
      <c r="AP421">
        <v>32</v>
      </c>
      <c r="AQ421">
        <v>34</v>
      </c>
      <c r="AR421">
        <v>0</v>
      </c>
      <c r="AS421">
        <v>0</v>
      </c>
      <c r="AT421">
        <v>0</v>
      </c>
      <c r="AU421">
        <v>9292800</v>
      </c>
    </row>
    <row r="422" spans="1:47" x14ac:dyDescent="0.3">
      <c r="A422" s="1">
        <v>46163</v>
      </c>
      <c r="B422" t="s">
        <v>170</v>
      </c>
      <c r="C422">
        <v>1</v>
      </c>
      <c r="D422" t="s">
        <v>344</v>
      </c>
      <c r="E422" t="s">
        <v>255</v>
      </c>
      <c r="F422" t="s">
        <v>80</v>
      </c>
      <c r="G422">
        <v>11</v>
      </c>
      <c r="H422">
        <v>0</v>
      </c>
      <c r="I422">
        <v>234000</v>
      </c>
      <c r="J422">
        <v>0</v>
      </c>
      <c r="K422" t="s">
        <v>127</v>
      </c>
      <c r="L422" s="1">
        <v>46173</v>
      </c>
      <c r="N422" t="s">
        <v>106</v>
      </c>
      <c r="P422">
        <v>420</v>
      </c>
      <c r="Q422" t="s">
        <v>345</v>
      </c>
      <c r="R422" t="s">
        <v>54</v>
      </c>
      <c r="S422" t="s">
        <v>84</v>
      </c>
      <c r="T422" t="s">
        <v>56</v>
      </c>
      <c r="U422" t="s">
        <v>257</v>
      </c>
      <c r="V422" t="s">
        <v>58</v>
      </c>
      <c r="W422" t="s">
        <v>59</v>
      </c>
      <c r="X422">
        <v>180000</v>
      </c>
      <c r="Y422">
        <v>234000</v>
      </c>
      <c r="Z422" t="s">
        <v>56</v>
      </c>
      <c r="AA422" t="s">
        <v>60</v>
      </c>
      <c r="AB422" t="s">
        <v>88</v>
      </c>
      <c r="AC422" t="s">
        <v>83</v>
      </c>
      <c r="AD422" t="s">
        <v>76</v>
      </c>
      <c r="AE422">
        <v>0</v>
      </c>
      <c r="AG422">
        <v>0</v>
      </c>
      <c r="AH422" t="b">
        <v>1</v>
      </c>
      <c r="AI422" t="b">
        <v>0</v>
      </c>
      <c r="AL422" t="b">
        <v>0</v>
      </c>
      <c r="AM422" t="b">
        <v>0</v>
      </c>
      <c r="AN422">
        <v>0</v>
      </c>
      <c r="AO422">
        <v>0</v>
      </c>
      <c r="AP422">
        <v>0</v>
      </c>
      <c r="AQ422">
        <v>0</v>
      </c>
      <c r="AR422">
        <v>0</v>
      </c>
      <c r="AS422">
        <v>0</v>
      </c>
      <c r="AT422">
        <v>0</v>
      </c>
      <c r="AU422">
        <v>0</v>
      </c>
    </row>
    <row r="423" spans="1:47" x14ac:dyDescent="0.3">
      <c r="A423" s="1">
        <v>46130</v>
      </c>
      <c r="B423" t="s">
        <v>595</v>
      </c>
      <c r="C423">
        <v>3</v>
      </c>
      <c r="D423" t="s">
        <v>229</v>
      </c>
      <c r="E423" t="s">
        <v>246</v>
      </c>
      <c r="F423" t="s">
        <v>80</v>
      </c>
      <c r="G423">
        <v>8</v>
      </c>
      <c r="H423">
        <v>0</v>
      </c>
      <c r="I423">
        <v>1152000</v>
      </c>
      <c r="J423">
        <v>0</v>
      </c>
      <c r="K423" t="s">
        <v>127</v>
      </c>
      <c r="L423" s="1">
        <v>46131</v>
      </c>
      <c r="N423" t="s">
        <v>52</v>
      </c>
      <c r="P423">
        <v>421</v>
      </c>
      <c r="Q423" t="s">
        <v>231</v>
      </c>
      <c r="R423" t="s">
        <v>83</v>
      </c>
      <c r="S423" t="s">
        <v>123</v>
      </c>
      <c r="T423" t="s">
        <v>56</v>
      </c>
      <c r="U423" t="s">
        <v>248</v>
      </c>
      <c r="V423" t="s">
        <v>138</v>
      </c>
      <c r="W423" t="s">
        <v>139</v>
      </c>
      <c r="X423">
        <v>900000</v>
      </c>
      <c r="Y423">
        <v>1152000</v>
      </c>
      <c r="Z423" t="s">
        <v>56</v>
      </c>
      <c r="AA423" t="s">
        <v>73</v>
      </c>
      <c r="AB423" t="s">
        <v>88</v>
      </c>
      <c r="AC423" t="s">
        <v>83</v>
      </c>
      <c r="AD423" t="s">
        <v>130</v>
      </c>
      <c r="AE423">
        <v>0</v>
      </c>
      <c r="AG423">
        <v>0</v>
      </c>
      <c r="AH423" t="b">
        <v>1</v>
      </c>
      <c r="AI423" t="b">
        <v>0</v>
      </c>
      <c r="AL423" t="b">
        <v>0</v>
      </c>
      <c r="AM423" t="b">
        <v>0</v>
      </c>
      <c r="AN423">
        <v>0</v>
      </c>
      <c r="AO423">
        <v>0</v>
      </c>
      <c r="AP423">
        <v>0</v>
      </c>
      <c r="AQ423">
        <v>0</v>
      </c>
      <c r="AR423">
        <v>0</v>
      </c>
      <c r="AS423">
        <v>0</v>
      </c>
      <c r="AT423">
        <v>0</v>
      </c>
      <c r="AU423">
        <v>0</v>
      </c>
    </row>
    <row r="424" spans="1:47" x14ac:dyDescent="0.3">
      <c r="A424" s="1">
        <v>46026</v>
      </c>
      <c r="B424" t="s">
        <v>354</v>
      </c>
      <c r="C424">
        <v>4</v>
      </c>
      <c r="D424" t="s">
        <v>245</v>
      </c>
      <c r="E424" t="s">
        <v>189</v>
      </c>
      <c r="F424" t="s">
        <v>114</v>
      </c>
      <c r="G424">
        <v>32</v>
      </c>
      <c r="H424">
        <v>29</v>
      </c>
      <c r="I424">
        <v>312000</v>
      </c>
      <c r="J424">
        <v>0.05</v>
      </c>
      <c r="K424" t="s">
        <v>51</v>
      </c>
      <c r="L424" s="1">
        <v>46031</v>
      </c>
      <c r="M424" s="1">
        <v>46032</v>
      </c>
      <c r="N424" t="s">
        <v>67</v>
      </c>
      <c r="P424">
        <v>422</v>
      </c>
      <c r="Q424" t="s">
        <v>247</v>
      </c>
      <c r="R424" t="s">
        <v>75</v>
      </c>
      <c r="S424" t="s">
        <v>123</v>
      </c>
      <c r="T424" t="s">
        <v>56</v>
      </c>
      <c r="U424" t="s">
        <v>191</v>
      </c>
      <c r="V424" t="s">
        <v>86</v>
      </c>
      <c r="W424" t="s">
        <v>87</v>
      </c>
      <c r="X424">
        <v>250000</v>
      </c>
      <c r="Y424">
        <v>312000</v>
      </c>
      <c r="Z424" t="s">
        <v>134</v>
      </c>
      <c r="AA424" t="s">
        <v>73</v>
      </c>
      <c r="AB424" t="s">
        <v>117</v>
      </c>
      <c r="AC424" t="s">
        <v>83</v>
      </c>
      <c r="AD424" t="s">
        <v>94</v>
      </c>
      <c r="AE424">
        <v>8595600</v>
      </c>
      <c r="AF424">
        <v>7250000</v>
      </c>
      <c r="AG424">
        <v>1345600</v>
      </c>
      <c r="AH424" t="b">
        <v>1</v>
      </c>
      <c r="AI424" t="b">
        <v>1</v>
      </c>
      <c r="AJ424">
        <v>0</v>
      </c>
      <c r="AK424">
        <v>1</v>
      </c>
      <c r="AL424" t="b">
        <v>1</v>
      </c>
      <c r="AM424" t="b">
        <v>0</v>
      </c>
      <c r="AN424">
        <v>8595600</v>
      </c>
      <c r="AO424">
        <v>1345600</v>
      </c>
      <c r="AP424">
        <v>29</v>
      </c>
      <c r="AQ424">
        <v>32</v>
      </c>
      <c r="AR424">
        <v>0</v>
      </c>
      <c r="AS424">
        <v>1</v>
      </c>
      <c r="AT424">
        <v>0</v>
      </c>
      <c r="AU424">
        <v>1345600</v>
      </c>
    </row>
    <row r="425" spans="1:47" x14ac:dyDescent="0.3">
      <c r="A425" s="1">
        <v>46043</v>
      </c>
      <c r="B425" t="s">
        <v>317</v>
      </c>
      <c r="C425">
        <v>2</v>
      </c>
      <c r="D425" t="s">
        <v>48</v>
      </c>
      <c r="E425" t="s">
        <v>113</v>
      </c>
      <c r="F425" t="s">
        <v>80</v>
      </c>
      <c r="G425">
        <v>4</v>
      </c>
      <c r="H425">
        <v>3</v>
      </c>
      <c r="I425">
        <v>648000</v>
      </c>
      <c r="J425">
        <v>0.02</v>
      </c>
      <c r="K425" t="s">
        <v>51</v>
      </c>
      <c r="L425" s="1">
        <v>46044</v>
      </c>
      <c r="M425" s="1">
        <v>46044</v>
      </c>
      <c r="N425" t="s">
        <v>106</v>
      </c>
      <c r="P425">
        <v>423</v>
      </c>
      <c r="Q425" t="s">
        <v>53</v>
      </c>
      <c r="R425" t="s">
        <v>54</v>
      </c>
      <c r="S425" t="s">
        <v>55</v>
      </c>
      <c r="T425" t="s">
        <v>56</v>
      </c>
      <c r="U425" t="s">
        <v>116</v>
      </c>
      <c r="V425" t="s">
        <v>71</v>
      </c>
      <c r="W425" t="s">
        <v>72</v>
      </c>
      <c r="X425">
        <v>480000</v>
      </c>
      <c r="Y425">
        <v>648000</v>
      </c>
      <c r="Z425" t="s">
        <v>56</v>
      </c>
      <c r="AA425" t="s">
        <v>60</v>
      </c>
      <c r="AB425" t="s">
        <v>88</v>
      </c>
      <c r="AC425" t="s">
        <v>83</v>
      </c>
      <c r="AD425" t="s">
        <v>94</v>
      </c>
      <c r="AE425">
        <v>1905120</v>
      </c>
      <c r="AF425">
        <v>1440000</v>
      </c>
      <c r="AG425">
        <v>465120</v>
      </c>
      <c r="AH425" t="b">
        <v>1</v>
      </c>
      <c r="AI425" t="b">
        <v>1</v>
      </c>
      <c r="AJ425">
        <v>1</v>
      </c>
      <c r="AK425">
        <v>0</v>
      </c>
      <c r="AL425" t="b">
        <v>1</v>
      </c>
      <c r="AM425" t="b">
        <v>0</v>
      </c>
      <c r="AN425">
        <v>1905120</v>
      </c>
      <c r="AO425">
        <v>465120</v>
      </c>
      <c r="AP425">
        <v>3</v>
      </c>
      <c r="AQ425">
        <v>4</v>
      </c>
      <c r="AR425">
        <v>1</v>
      </c>
      <c r="AS425">
        <v>1</v>
      </c>
      <c r="AT425">
        <v>0</v>
      </c>
      <c r="AU425">
        <v>465120</v>
      </c>
    </row>
    <row r="426" spans="1:47" x14ac:dyDescent="0.3">
      <c r="A426" s="1">
        <v>46193</v>
      </c>
      <c r="B426" t="s">
        <v>577</v>
      </c>
      <c r="C426">
        <v>3</v>
      </c>
      <c r="D426" t="s">
        <v>200</v>
      </c>
      <c r="E426" t="s">
        <v>220</v>
      </c>
      <c r="F426" t="s">
        <v>114</v>
      </c>
      <c r="G426">
        <v>-3</v>
      </c>
      <c r="H426">
        <v>-3</v>
      </c>
      <c r="I426">
        <v>234000</v>
      </c>
      <c r="J426">
        <v>0.1</v>
      </c>
      <c r="K426" t="s">
        <v>216</v>
      </c>
      <c r="L426" s="1">
        <v>46196</v>
      </c>
      <c r="M426" s="1">
        <v>46198</v>
      </c>
      <c r="N426" t="s">
        <v>81</v>
      </c>
      <c r="P426">
        <v>424</v>
      </c>
      <c r="Q426" t="s">
        <v>201</v>
      </c>
      <c r="R426" t="s">
        <v>75</v>
      </c>
      <c r="S426" t="s">
        <v>55</v>
      </c>
      <c r="T426" t="s">
        <v>56</v>
      </c>
      <c r="U426" t="s">
        <v>221</v>
      </c>
      <c r="V426" t="s">
        <v>58</v>
      </c>
      <c r="W426" t="s">
        <v>59</v>
      </c>
      <c r="X426">
        <v>180000</v>
      </c>
      <c r="Y426">
        <v>234000</v>
      </c>
      <c r="Z426" t="s">
        <v>56</v>
      </c>
      <c r="AA426" t="s">
        <v>60</v>
      </c>
      <c r="AB426" t="s">
        <v>117</v>
      </c>
      <c r="AC426" t="s">
        <v>83</v>
      </c>
      <c r="AD426" t="s">
        <v>118</v>
      </c>
      <c r="AE426">
        <v>-631800</v>
      </c>
      <c r="AF426">
        <v>-540000</v>
      </c>
      <c r="AG426">
        <v>-91800</v>
      </c>
      <c r="AH426" t="b">
        <v>1</v>
      </c>
      <c r="AI426" t="b">
        <v>1</v>
      </c>
      <c r="AJ426">
        <v>0</v>
      </c>
      <c r="AK426">
        <v>2</v>
      </c>
      <c r="AL426" t="b">
        <v>0</v>
      </c>
      <c r="AM426" t="b">
        <v>1</v>
      </c>
      <c r="AN426">
        <v>-631800</v>
      </c>
      <c r="AO426">
        <v>-91800</v>
      </c>
      <c r="AP426">
        <v>0</v>
      </c>
      <c r="AQ426">
        <v>0</v>
      </c>
      <c r="AR426">
        <v>0</v>
      </c>
      <c r="AS426">
        <v>1</v>
      </c>
      <c r="AT426">
        <v>-631800</v>
      </c>
      <c r="AU426">
        <v>-91800</v>
      </c>
    </row>
    <row r="427" spans="1:47" x14ac:dyDescent="0.3">
      <c r="A427" s="1">
        <v>46139</v>
      </c>
      <c r="B427" t="s">
        <v>596</v>
      </c>
      <c r="C427">
        <v>1</v>
      </c>
      <c r="D427" t="s">
        <v>200</v>
      </c>
      <c r="E427" t="s">
        <v>378</v>
      </c>
      <c r="F427" t="s">
        <v>50</v>
      </c>
      <c r="G427">
        <v>24</v>
      </c>
      <c r="H427">
        <v>0</v>
      </c>
      <c r="I427">
        <v>793000</v>
      </c>
      <c r="J427">
        <v>0</v>
      </c>
      <c r="K427" t="s">
        <v>127</v>
      </c>
      <c r="L427" s="1">
        <v>46144</v>
      </c>
      <c r="N427" t="s">
        <v>106</v>
      </c>
      <c r="P427">
        <v>425</v>
      </c>
      <c r="Q427" t="s">
        <v>201</v>
      </c>
      <c r="R427" t="s">
        <v>75</v>
      </c>
      <c r="S427" t="s">
        <v>55</v>
      </c>
      <c r="T427" t="s">
        <v>56</v>
      </c>
      <c r="U427" t="s">
        <v>380</v>
      </c>
      <c r="V427" t="s">
        <v>101</v>
      </c>
      <c r="W427" t="s">
        <v>102</v>
      </c>
      <c r="X427">
        <v>650000</v>
      </c>
      <c r="Y427">
        <v>793000</v>
      </c>
      <c r="Z427" t="s">
        <v>56</v>
      </c>
      <c r="AA427" t="s">
        <v>129</v>
      </c>
      <c r="AB427" t="s">
        <v>61</v>
      </c>
      <c r="AC427" t="s">
        <v>54</v>
      </c>
      <c r="AD427" t="s">
        <v>130</v>
      </c>
      <c r="AE427">
        <v>0</v>
      </c>
      <c r="AG427">
        <v>0</v>
      </c>
      <c r="AH427" t="b">
        <v>1</v>
      </c>
      <c r="AI427" t="b">
        <v>0</v>
      </c>
      <c r="AL427" t="b">
        <v>0</v>
      </c>
      <c r="AM427" t="b">
        <v>0</v>
      </c>
      <c r="AN427">
        <v>0</v>
      </c>
      <c r="AO427">
        <v>0</v>
      </c>
      <c r="AP427">
        <v>0</v>
      </c>
      <c r="AQ427">
        <v>0</v>
      </c>
      <c r="AR427">
        <v>0</v>
      </c>
      <c r="AS427">
        <v>0</v>
      </c>
      <c r="AT427">
        <v>0</v>
      </c>
      <c r="AU427">
        <v>0</v>
      </c>
    </row>
    <row r="428" spans="1:47" x14ac:dyDescent="0.3">
      <c r="A428" s="1">
        <v>46097</v>
      </c>
      <c r="B428" t="s">
        <v>597</v>
      </c>
      <c r="C428">
        <v>2</v>
      </c>
      <c r="D428" t="s">
        <v>78</v>
      </c>
      <c r="E428" t="s">
        <v>113</v>
      </c>
      <c r="F428" t="s">
        <v>50</v>
      </c>
      <c r="G428">
        <v>34</v>
      </c>
      <c r="H428">
        <v>33</v>
      </c>
      <c r="I428">
        <v>648000</v>
      </c>
      <c r="J428">
        <v>0</v>
      </c>
      <c r="K428" t="s">
        <v>51</v>
      </c>
      <c r="L428" s="1">
        <v>46104</v>
      </c>
      <c r="M428" s="1">
        <v>46103</v>
      </c>
      <c r="N428" t="s">
        <v>106</v>
      </c>
      <c r="P428">
        <v>426</v>
      </c>
      <c r="Q428" t="s">
        <v>82</v>
      </c>
      <c r="R428" t="s">
        <v>83</v>
      </c>
      <c r="S428" t="s">
        <v>84</v>
      </c>
      <c r="T428" t="s">
        <v>56</v>
      </c>
      <c r="U428" t="s">
        <v>116</v>
      </c>
      <c r="V428" t="s">
        <v>71</v>
      </c>
      <c r="W428" t="s">
        <v>72</v>
      </c>
      <c r="X428">
        <v>480000</v>
      </c>
      <c r="Y428">
        <v>648000</v>
      </c>
      <c r="Z428" t="s">
        <v>56</v>
      </c>
      <c r="AA428" t="s">
        <v>60</v>
      </c>
      <c r="AB428" t="s">
        <v>61</v>
      </c>
      <c r="AC428" t="s">
        <v>54</v>
      </c>
      <c r="AD428" t="s">
        <v>62</v>
      </c>
      <c r="AE428">
        <v>21384000</v>
      </c>
      <c r="AF428">
        <v>15840000</v>
      </c>
      <c r="AG428">
        <v>5544000</v>
      </c>
      <c r="AH428" t="b">
        <v>1</v>
      </c>
      <c r="AI428" t="b">
        <v>1</v>
      </c>
      <c r="AJ428">
        <v>1</v>
      </c>
      <c r="AK428">
        <v>-1</v>
      </c>
      <c r="AL428" t="b">
        <v>1</v>
      </c>
      <c r="AM428" t="b">
        <v>0</v>
      </c>
      <c r="AN428">
        <v>21384000</v>
      </c>
      <c r="AO428">
        <v>5544000</v>
      </c>
      <c r="AP428">
        <v>33</v>
      </c>
      <c r="AQ428">
        <v>34</v>
      </c>
      <c r="AR428">
        <v>1</v>
      </c>
      <c r="AS428">
        <v>1</v>
      </c>
      <c r="AT428">
        <v>0</v>
      </c>
      <c r="AU428">
        <v>5544000</v>
      </c>
    </row>
    <row r="429" spans="1:47" x14ac:dyDescent="0.3">
      <c r="A429" s="1">
        <v>46169</v>
      </c>
      <c r="B429" t="s">
        <v>343</v>
      </c>
      <c r="C429">
        <v>1</v>
      </c>
      <c r="D429" t="s">
        <v>215</v>
      </c>
      <c r="E429" t="s">
        <v>246</v>
      </c>
      <c r="F429" t="s">
        <v>66</v>
      </c>
      <c r="G429">
        <v>21</v>
      </c>
      <c r="H429">
        <v>18</v>
      </c>
      <c r="I429">
        <v>1152000</v>
      </c>
      <c r="J429">
        <v>0.02</v>
      </c>
      <c r="K429" t="s">
        <v>51</v>
      </c>
      <c r="L429" s="1">
        <v>46171</v>
      </c>
      <c r="M429" s="1">
        <v>46173</v>
      </c>
      <c r="N429" t="s">
        <v>67</v>
      </c>
      <c r="P429">
        <v>427</v>
      </c>
      <c r="Q429" t="s">
        <v>217</v>
      </c>
      <c r="R429" t="s">
        <v>54</v>
      </c>
      <c r="S429" t="s">
        <v>69</v>
      </c>
      <c r="T429" t="s">
        <v>218</v>
      </c>
      <c r="U429" t="s">
        <v>248</v>
      </c>
      <c r="V429" t="s">
        <v>138</v>
      </c>
      <c r="W429" t="s">
        <v>139</v>
      </c>
      <c r="X429">
        <v>900000</v>
      </c>
      <c r="Y429">
        <v>1152000</v>
      </c>
      <c r="Z429" t="s">
        <v>56</v>
      </c>
      <c r="AA429" t="s">
        <v>73</v>
      </c>
      <c r="AB429" t="s">
        <v>74</v>
      </c>
      <c r="AC429" t="s">
        <v>75</v>
      </c>
      <c r="AD429" t="s">
        <v>76</v>
      </c>
      <c r="AE429">
        <v>20321280</v>
      </c>
      <c r="AF429">
        <v>16200000</v>
      </c>
      <c r="AG429">
        <v>4121280</v>
      </c>
      <c r="AH429" t="b">
        <v>1</v>
      </c>
      <c r="AI429" t="b">
        <v>1</v>
      </c>
      <c r="AJ429">
        <v>0</v>
      </c>
      <c r="AK429">
        <v>2</v>
      </c>
      <c r="AL429" t="b">
        <v>1</v>
      </c>
      <c r="AM429" t="b">
        <v>0</v>
      </c>
      <c r="AN429">
        <v>20321280</v>
      </c>
      <c r="AO429">
        <v>4121280</v>
      </c>
      <c r="AP429">
        <v>18</v>
      </c>
      <c r="AQ429">
        <v>21</v>
      </c>
      <c r="AR429">
        <v>0</v>
      </c>
      <c r="AS429">
        <v>1</v>
      </c>
      <c r="AT429">
        <v>0</v>
      </c>
      <c r="AU429">
        <v>4121280</v>
      </c>
    </row>
    <row r="430" spans="1:47" x14ac:dyDescent="0.3">
      <c r="A430" s="1">
        <v>46156</v>
      </c>
      <c r="B430" t="s">
        <v>409</v>
      </c>
      <c r="C430">
        <v>4</v>
      </c>
      <c r="D430" t="s">
        <v>269</v>
      </c>
      <c r="E430" t="s">
        <v>203</v>
      </c>
      <c r="F430" t="s">
        <v>50</v>
      </c>
      <c r="G430">
        <v>13</v>
      </c>
      <c r="H430">
        <v>13</v>
      </c>
      <c r="I430">
        <v>2124000</v>
      </c>
      <c r="J430">
        <v>0.1</v>
      </c>
      <c r="K430" t="s">
        <v>51</v>
      </c>
      <c r="L430" s="1">
        <v>46157</v>
      </c>
      <c r="M430" s="1">
        <v>46160</v>
      </c>
      <c r="N430" t="s">
        <v>81</v>
      </c>
      <c r="P430">
        <v>428</v>
      </c>
      <c r="Q430" t="s">
        <v>270</v>
      </c>
      <c r="R430" t="s">
        <v>83</v>
      </c>
      <c r="S430" t="s">
        <v>55</v>
      </c>
      <c r="T430" t="s">
        <v>56</v>
      </c>
      <c r="U430" t="s">
        <v>204</v>
      </c>
      <c r="V430" t="s">
        <v>109</v>
      </c>
      <c r="W430" t="s">
        <v>110</v>
      </c>
      <c r="X430">
        <v>1800000</v>
      </c>
      <c r="Y430">
        <v>2124000</v>
      </c>
      <c r="Z430" t="s">
        <v>56</v>
      </c>
      <c r="AA430" t="s">
        <v>73</v>
      </c>
      <c r="AB430" t="s">
        <v>61</v>
      </c>
      <c r="AC430" t="s">
        <v>54</v>
      </c>
      <c r="AD430" t="s">
        <v>76</v>
      </c>
      <c r="AE430">
        <v>24850800</v>
      </c>
      <c r="AF430">
        <v>23400000</v>
      </c>
      <c r="AG430">
        <v>1450800</v>
      </c>
      <c r="AH430" t="b">
        <v>1</v>
      </c>
      <c r="AI430" t="b">
        <v>1</v>
      </c>
      <c r="AJ430">
        <v>0</v>
      </c>
      <c r="AK430">
        <v>3</v>
      </c>
      <c r="AL430" t="b">
        <v>1</v>
      </c>
      <c r="AM430" t="b">
        <v>0</v>
      </c>
      <c r="AN430">
        <v>24850800</v>
      </c>
      <c r="AO430">
        <v>1450800</v>
      </c>
      <c r="AP430">
        <v>13</v>
      </c>
      <c r="AQ430">
        <v>13</v>
      </c>
      <c r="AR430">
        <v>0</v>
      </c>
      <c r="AS430">
        <v>1</v>
      </c>
      <c r="AT430">
        <v>0</v>
      </c>
      <c r="AU430">
        <v>1450800</v>
      </c>
    </row>
    <row r="431" spans="1:47" x14ac:dyDescent="0.3">
      <c r="A431" s="1">
        <v>46180</v>
      </c>
      <c r="B431" t="s">
        <v>318</v>
      </c>
      <c r="C431">
        <v>4</v>
      </c>
      <c r="D431" t="s">
        <v>90</v>
      </c>
      <c r="E431" t="s">
        <v>255</v>
      </c>
      <c r="F431" t="s">
        <v>50</v>
      </c>
      <c r="G431">
        <v>14</v>
      </c>
      <c r="H431">
        <v>13</v>
      </c>
      <c r="I431">
        <v>234000</v>
      </c>
      <c r="J431">
        <v>0.02</v>
      </c>
      <c r="K431" t="s">
        <v>51</v>
      </c>
      <c r="L431" s="1">
        <v>46183</v>
      </c>
      <c r="M431" s="1">
        <v>46190</v>
      </c>
      <c r="N431" t="s">
        <v>106</v>
      </c>
      <c r="P431">
        <v>429</v>
      </c>
      <c r="Q431" t="s">
        <v>92</v>
      </c>
      <c r="R431" t="s">
        <v>75</v>
      </c>
      <c r="S431" t="s">
        <v>84</v>
      </c>
      <c r="T431" t="s">
        <v>56</v>
      </c>
      <c r="U431" t="s">
        <v>257</v>
      </c>
      <c r="V431" t="s">
        <v>58</v>
      </c>
      <c r="W431" t="s">
        <v>59</v>
      </c>
      <c r="X431">
        <v>180000</v>
      </c>
      <c r="Y431">
        <v>234000</v>
      </c>
      <c r="Z431" t="s">
        <v>56</v>
      </c>
      <c r="AA431" t="s">
        <v>60</v>
      </c>
      <c r="AB431" t="s">
        <v>61</v>
      </c>
      <c r="AC431" t="s">
        <v>54</v>
      </c>
      <c r="AD431" t="s">
        <v>118</v>
      </c>
      <c r="AE431">
        <v>2981160</v>
      </c>
      <c r="AF431">
        <v>2340000</v>
      </c>
      <c r="AG431">
        <v>641160</v>
      </c>
      <c r="AH431" t="b">
        <v>1</v>
      </c>
      <c r="AI431" t="b">
        <v>1</v>
      </c>
      <c r="AJ431">
        <v>0</v>
      </c>
      <c r="AK431">
        <v>7</v>
      </c>
      <c r="AL431" t="b">
        <v>1</v>
      </c>
      <c r="AM431" t="b">
        <v>0</v>
      </c>
      <c r="AN431">
        <v>2981160</v>
      </c>
      <c r="AO431">
        <v>641160</v>
      </c>
      <c r="AP431">
        <v>13</v>
      </c>
      <c r="AQ431">
        <v>14</v>
      </c>
      <c r="AR431">
        <v>0</v>
      </c>
      <c r="AS431">
        <v>1</v>
      </c>
      <c r="AT431">
        <v>0</v>
      </c>
      <c r="AU431">
        <v>641160</v>
      </c>
    </row>
    <row r="432" spans="1:47" x14ac:dyDescent="0.3">
      <c r="A432" s="1">
        <v>46101</v>
      </c>
      <c r="B432" t="s">
        <v>249</v>
      </c>
      <c r="C432">
        <v>3</v>
      </c>
      <c r="D432" t="s">
        <v>171</v>
      </c>
      <c r="E432" t="s">
        <v>230</v>
      </c>
      <c r="F432" t="s">
        <v>50</v>
      </c>
      <c r="G432">
        <v>22</v>
      </c>
      <c r="H432">
        <v>19</v>
      </c>
      <c r="I432">
        <v>2196000</v>
      </c>
      <c r="J432">
        <v>0</v>
      </c>
      <c r="K432" t="s">
        <v>51</v>
      </c>
      <c r="L432" s="1">
        <v>46103</v>
      </c>
      <c r="M432" s="1">
        <v>46103</v>
      </c>
      <c r="N432" t="s">
        <v>52</v>
      </c>
      <c r="P432">
        <v>430</v>
      </c>
      <c r="Q432" t="s">
        <v>172</v>
      </c>
      <c r="R432" t="s">
        <v>54</v>
      </c>
      <c r="S432" t="s">
        <v>84</v>
      </c>
      <c r="T432" t="s">
        <v>56</v>
      </c>
      <c r="U432" t="s">
        <v>232</v>
      </c>
      <c r="V432" t="s">
        <v>101</v>
      </c>
      <c r="W432" t="s">
        <v>102</v>
      </c>
      <c r="X432">
        <v>1800000</v>
      </c>
      <c r="Y432">
        <v>2196000</v>
      </c>
      <c r="Z432" t="s">
        <v>56</v>
      </c>
      <c r="AA432" t="s">
        <v>129</v>
      </c>
      <c r="AB432" t="s">
        <v>61</v>
      </c>
      <c r="AC432" t="s">
        <v>54</v>
      </c>
      <c r="AD432" t="s">
        <v>62</v>
      </c>
      <c r="AE432">
        <v>41724000</v>
      </c>
      <c r="AF432">
        <v>34200000</v>
      </c>
      <c r="AG432">
        <v>7524000</v>
      </c>
      <c r="AH432" t="b">
        <v>1</v>
      </c>
      <c r="AI432" t="b">
        <v>1</v>
      </c>
      <c r="AJ432">
        <v>1</v>
      </c>
      <c r="AK432">
        <v>0</v>
      </c>
      <c r="AL432" t="b">
        <v>1</v>
      </c>
      <c r="AM432" t="b">
        <v>0</v>
      </c>
      <c r="AN432">
        <v>41724000</v>
      </c>
      <c r="AO432">
        <v>7524000</v>
      </c>
      <c r="AP432">
        <v>19</v>
      </c>
      <c r="AQ432">
        <v>22</v>
      </c>
      <c r="AR432">
        <v>1</v>
      </c>
      <c r="AS432">
        <v>1</v>
      </c>
      <c r="AT432">
        <v>0</v>
      </c>
      <c r="AU432">
        <v>7524000</v>
      </c>
    </row>
    <row r="433" spans="1:47" x14ac:dyDescent="0.3">
      <c r="A433" s="1">
        <v>46109</v>
      </c>
      <c r="B433" t="s">
        <v>385</v>
      </c>
      <c r="C433">
        <v>4</v>
      </c>
      <c r="D433" t="s">
        <v>90</v>
      </c>
      <c r="E433" t="s">
        <v>348</v>
      </c>
      <c r="F433" t="s">
        <v>66</v>
      </c>
      <c r="G433">
        <v>10</v>
      </c>
      <c r="H433">
        <v>10</v>
      </c>
      <c r="I433">
        <v>566000</v>
      </c>
      <c r="J433">
        <v>0.05</v>
      </c>
      <c r="K433" t="s">
        <v>51</v>
      </c>
      <c r="L433" s="1">
        <v>46114</v>
      </c>
      <c r="M433" s="1">
        <v>46117</v>
      </c>
      <c r="N433" t="s">
        <v>106</v>
      </c>
      <c r="P433">
        <v>431</v>
      </c>
      <c r="Q433" t="s">
        <v>92</v>
      </c>
      <c r="R433" t="s">
        <v>75</v>
      </c>
      <c r="S433" t="s">
        <v>84</v>
      </c>
      <c r="T433" t="s">
        <v>56</v>
      </c>
      <c r="U433" t="s">
        <v>349</v>
      </c>
      <c r="V433" t="s">
        <v>109</v>
      </c>
      <c r="W433" t="s">
        <v>110</v>
      </c>
      <c r="X433">
        <v>480000</v>
      </c>
      <c r="Y433">
        <v>566000</v>
      </c>
      <c r="Z433" t="s">
        <v>56</v>
      </c>
      <c r="AA433" t="s">
        <v>60</v>
      </c>
      <c r="AB433" t="s">
        <v>74</v>
      </c>
      <c r="AC433" t="s">
        <v>75</v>
      </c>
      <c r="AD433" t="s">
        <v>62</v>
      </c>
      <c r="AE433">
        <v>5377000</v>
      </c>
      <c r="AF433">
        <v>4800000</v>
      </c>
      <c r="AG433">
        <v>577000</v>
      </c>
      <c r="AH433" t="b">
        <v>1</v>
      </c>
      <c r="AI433" t="b">
        <v>1</v>
      </c>
      <c r="AJ433">
        <v>0</v>
      </c>
      <c r="AK433">
        <v>3</v>
      </c>
      <c r="AL433" t="b">
        <v>1</v>
      </c>
      <c r="AM433" t="b">
        <v>0</v>
      </c>
      <c r="AN433">
        <v>5377000</v>
      </c>
      <c r="AO433">
        <v>577000</v>
      </c>
      <c r="AP433">
        <v>10</v>
      </c>
      <c r="AQ433">
        <v>10</v>
      </c>
      <c r="AR433">
        <v>0</v>
      </c>
      <c r="AS433">
        <v>1</v>
      </c>
      <c r="AT433">
        <v>0</v>
      </c>
      <c r="AU433">
        <v>577000</v>
      </c>
    </row>
    <row r="434" spans="1:47" x14ac:dyDescent="0.3">
      <c r="A434" s="1">
        <v>46156</v>
      </c>
      <c r="B434" t="s">
        <v>554</v>
      </c>
      <c r="C434">
        <v>3</v>
      </c>
      <c r="D434" t="s">
        <v>48</v>
      </c>
      <c r="E434" t="s">
        <v>189</v>
      </c>
      <c r="F434" t="s">
        <v>114</v>
      </c>
      <c r="G434">
        <v>14</v>
      </c>
      <c r="H434">
        <v>14</v>
      </c>
      <c r="I434">
        <v>312000</v>
      </c>
      <c r="J434">
        <v>0</v>
      </c>
      <c r="K434" t="s">
        <v>51</v>
      </c>
      <c r="L434" s="1">
        <v>46158</v>
      </c>
      <c r="M434" s="1">
        <v>46158</v>
      </c>
      <c r="N434" t="s">
        <v>106</v>
      </c>
      <c r="P434">
        <v>432</v>
      </c>
      <c r="Q434" t="s">
        <v>53</v>
      </c>
      <c r="R434" t="s">
        <v>54</v>
      </c>
      <c r="S434" t="s">
        <v>55</v>
      </c>
      <c r="T434" t="s">
        <v>56</v>
      </c>
      <c r="U434" t="s">
        <v>191</v>
      </c>
      <c r="V434" t="s">
        <v>86</v>
      </c>
      <c r="W434" t="s">
        <v>87</v>
      </c>
      <c r="X434">
        <v>250000</v>
      </c>
      <c r="Y434">
        <v>312000</v>
      </c>
      <c r="Z434" t="s">
        <v>134</v>
      </c>
      <c r="AA434" t="s">
        <v>73</v>
      </c>
      <c r="AB434" t="s">
        <v>117</v>
      </c>
      <c r="AC434" t="s">
        <v>83</v>
      </c>
      <c r="AD434" t="s">
        <v>76</v>
      </c>
      <c r="AE434">
        <v>4368000</v>
      </c>
      <c r="AF434">
        <v>3500000</v>
      </c>
      <c r="AG434">
        <v>868000</v>
      </c>
      <c r="AH434" t="b">
        <v>1</v>
      </c>
      <c r="AI434" t="b">
        <v>1</v>
      </c>
      <c r="AJ434">
        <v>1</v>
      </c>
      <c r="AK434">
        <v>0</v>
      </c>
      <c r="AL434" t="b">
        <v>1</v>
      </c>
      <c r="AM434" t="b">
        <v>0</v>
      </c>
      <c r="AN434">
        <v>4368000</v>
      </c>
      <c r="AO434">
        <v>868000</v>
      </c>
      <c r="AP434">
        <v>14</v>
      </c>
      <c r="AQ434">
        <v>14</v>
      </c>
      <c r="AR434">
        <v>1</v>
      </c>
      <c r="AS434">
        <v>1</v>
      </c>
      <c r="AT434">
        <v>0</v>
      </c>
      <c r="AU434">
        <v>868000</v>
      </c>
    </row>
    <row r="435" spans="1:47" x14ac:dyDescent="0.3">
      <c r="A435" s="1">
        <v>46109</v>
      </c>
      <c r="B435" t="s">
        <v>598</v>
      </c>
      <c r="C435">
        <v>2</v>
      </c>
      <c r="D435" t="s">
        <v>185</v>
      </c>
      <c r="E435" t="s">
        <v>136</v>
      </c>
      <c r="F435" t="s">
        <v>80</v>
      </c>
      <c r="G435">
        <v>8</v>
      </c>
      <c r="H435">
        <v>0</v>
      </c>
      <c r="I435">
        <v>2304000</v>
      </c>
      <c r="J435">
        <v>0.02</v>
      </c>
      <c r="K435" t="s">
        <v>127</v>
      </c>
      <c r="L435" s="1">
        <v>46119</v>
      </c>
      <c r="N435" t="s">
        <v>52</v>
      </c>
      <c r="P435">
        <v>433</v>
      </c>
      <c r="Q435" t="s">
        <v>186</v>
      </c>
      <c r="R435" t="s">
        <v>54</v>
      </c>
      <c r="S435" t="s">
        <v>55</v>
      </c>
      <c r="T435" t="s">
        <v>56</v>
      </c>
      <c r="U435" t="s">
        <v>137</v>
      </c>
      <c r="V435" t="s">
        <v>138</v>
      </c>
      <c r="W435" t="s">
        <v>139</v>
      </c>
      <c r="X435">
        <v>1800000</v>
      </c>
      <c r="Y435">
        <v>2304000</v>
      </c>
      <c r="Z435" t="s">
        <v>56</v>
      </c>
      <c r="AA435" t="s">
        <v>129</v>
      </c>
      <c r="AB435" t="s">
        <v>88</v>
      </c>
      <c r="AC435" t="s">
        <v>83</v>
      </c>
      <c r="AD435" t="s">
        <v>62</v>
      </c>
      <c r="AE435">
        <v>0</v>
      </c>
      <c r="AG435">
        <v>0</v>
      </c>
      <c r="AH435" t="b">
        <v>1</v>
      </c>
      <c r="AI435" t="b">
        <v>0</v>
      </c>
      <c r="AL435" t="b">
        <v>0</v>
      </c>
      <c r="AM435" t="b">
        <v>0</v>
      </c>
      <c r="AN435">
        <v>0</v>
      </c>
      <c r="AO435">
        <v>0</v>
      </c>
      <c r="AP435">
        <v>0</v>
      </c>
      <c r="AQ435">
        <v>0</v>
      </c>
      <c r="AR435">
        <v>0</v>
      </c>
      <c r="AS435">
        <v>0</v>
      </c>
      <c r="AT435">
        <v>0</v>
      </c>
      <c r="AU435">
        <v>0</v>
      </c>
    </row>
    <row r="436" spans="1:47" x14ac:dyDescent="0.3">
      <c r="A436" s="1">
        <v>46031</v>
      </c>
      <c r="B436" t="s">
        <v>599</v>
      </c>
      <c r="C436">
        <v>4</v>
      </c>
      <c r="D436" t="s">
        <v>200</v>
      </c>
      <c r="E436" t="s">
        <v>175</v>
      </c>
      <c r="F436" t="s">
        <v>80</v>
      </c>
      <c r="G436">
        <v>24</v>
      </c>
      <c r="H436">
        <v>24</v>
      </c>
      <c r="I436">
        <v>1098000</v>
      </c>
      <c r="J436">
        <v>0.08</v>
      </c>
      <c r="K436" t="s">
        <v>51</v>
      </c>
      <c r="L436" s="1">
        <v>46034</v>
      </c>
      <c r="M436" s="1">
        <v>46034</v>
      </c>
      <c r="N436" t="s">
        <v>106</v>
      </c>
      <c r="P436">
        <v>434</v>
      </c>
      <c r="Q436" t="s">
        <v>201</v>
      </c>
      <c r="R436" t="s">
        <v>75</v>
      </c>
      <c r="S436" t="s">
        <v>55</v>
      </c>
      <c r="T436" t="s">
        <v>56</v>
      </c>
      <c r="U436" t="s">
        <v>177</v>
      </c>
      <c r="V436" t="s">
        <v>101</v>
      </c>
      <c r="W436" t="s">
        <v>102</v>
      </c>
      <c r="X436">
        <v>900000</v>
      </c>
      <c r="Y436">
        <v>1098000</v>
      </c>
      <c r="Z436" t="s">
        <v>56</v>
      </c>
      <c r="AA436" t="s">
        <v>129</v>
      </c>
      <c r="AB436" t="s">
        <v>88</v>
      </c>
      <c r="AC436" t="s">
        <v>83</v>
      </c>
      <c r="AD436" t="s">
        <v>94</v>
      </c>
      <c r="AE436">
        <v>24243840</v>
      </c>
      <c r="AF436">
        <v>21600000</v>
      </c>
      <c r="AG436">
        <v>2643840</v>
      </c>
      <c r="AH436" t="b">
        <v>1</v>
      </c>
      <c r="AI436" t="b">
        <v>1</v>
      </c>
      <c r="AJ436">
        <v>1</v>
      </c>
      <c r="AK436">
        <v>0</v>
      </c>
      <c r="AL436" t="b">
        <v>1</v>
      </c>
      <c r="AM436" t="b">
        <v>0</v>
      </c>
      <c r="AN436">
        <v>24243840</v>
      </c>
      <c r="AO436">
        <v>2643840</v>
      </c>
      <c r="AP436">
        <v>24</v>
      </c>
      <c r="AQ436">
        <v>24</v>
      </c>
      <c r="AR436">
        <v>1</v>
      </c>
      <c r="AS436">
        <v>1</v>
      </c>
      <c r="AT436">
        <v>0</v>
      </c>
      <c r="AU436">
        <v>2643840</v>
      </c>
    </row>
    <row r="437" spans="1:47" x14ac:dyDescent="0.3">
      <c r="A437" s="1">
        <v>46118</v>
      </c>
      <c r="B437" t="s">
        <v>600</v>
      </c>
      <c r="C437">
        <v>2</v>
      </c>
      <c r="D437" t="s">
        <v>200</v>
      </c>
      <c r="E437" t="s">
        <v>160</v>
      </c>
      <c r="F437" t="s">
        <v>114</v>
      </c>
      <c r="G437">
        <v>31</v>
      </c>
      <c r="H437">
        <v>0</v>
      </c>
      <c r="I437">
        <v>1125000</v>
      </c>
      <c r="J437">
        <v>0</v>
      </c>
      <c r="K437" t="s">
        <v>127</v>
      </c>
      <c r="L437" s="1">
        <v>46120</v>
      </c>
      <c r="N437" t="s">
        <v>52</v>
      </c>
      <c r="P437">
        <v>435</v>
      </c>
      <c r="Q437" t="s">
        <v>201</v>
      </c>
      <c r="R437" t="s">
        <v>75</v>
      </c>
      <c r="S437" t="s">
        <v>55</v>
      </c>
      <c r="T437" t="s">
        <v>56</v>
      </c>
      <c r="U437" t="s">
        <v>161</v>
      </c>
      <c r="V437" t="s">
        <v>86</v>
      </c>
      <c r="W437" t="s">
        <v>87</v>
      </c>
      <c r="X437">
        <v>900000</v>
      </c>
      <c r="Y437">
        <v>1125000</v>
      </c>
      <c r="Z437" t="s">
        <v>56</v>
      </c>
      <c r="AA437" t="s">
        <v>60</v>
      </c>
      <c r="AB437" t="s">
        <v>117</v>
      </c>
      <c r="AC437" t="s">
        <v>83</v>
      </c>
      <c r="AD437" t="s">
        <v>130</v>
      </c>
      <c r="AE437">
        <v>0</v>
      </c>
      <c r="AG437">
        <v>0</v>
      </c>
      <c r="AH437" t="b">
        <v>1</v>
      </c>
      <c r="AI437" t="b">
        <v>0</v>
      </c>
      <c r="AL437" t="b">
        <v>0</v>
      </c>
      <c r="AM437" t="b">
        <v>0</v>
      </c>
      <c r="AN437">
        <v>0</v>
      </c>
      <c r="AO437">
        <v>0</v>
      </c>
      <c r="AP437">
        <v>0</v>
      </c>
      <c r="AQ437">
        <v>0</v>
      </c>
      <c r="AR437">
        <v>0</v>
      </c>
      <c r="AS437">
        <v>0</v>
      </c>
      <c r="AT437">
        <v>0</v>
      </c>
      <c r="AU437">
        <v>0</v>
      </c>
    </row>
    <row r="438" spans="1:47" x14ac:dyDescent="0.3">
      <c r="A438" s="1">
        <v>46146</v>
      </c>
      <c r="B438" t="s">
        <v>601</v>
      </c>
      <c r="C438">
        <v>3</v>
      </c>
      <c r="D438" t="s">
        <v>194</v>
      </c>
      <c r="E438" t="s">
        <v>49</v>
      </c>
      <c r="F438" t="s">
        <v>114</v>
      </c>
      <c r="G438">
        <v>34</v>
      </c>
      <c r="H438">
        <v>34</v>
      </c>
      <c r="I438">
        <v>1170000</v>
      </c>
      <c r="J438">
        <v>0.1</v>
      </c>
      <c r="K438" t="s">
        <v>51</v>
      </c>
      <c r="L438" s="1">
        <v>46147</v>
      </c>
      <c r="M438" s="1">
        <v>46148</v>
      </c>
      <c r="N438" t="s">
        <v>67</v>
      </c>
      <c r="P438">
        <v>436</v>
      </c>
      <c r="Q438" t="s">
        <v>195</v>
      </c>
      <c r="R438" t="s">
        <v>54</v>
      </c>
      <c r="S438" t="s">
        <v>123</v>
      </c>
      <c r="T438" t="s">
        <v>56</v>
      </c>
      <c r="U438" t="s">
        <v>57</v>
      </c>
      <c r="V438" t="s">
        <v>58</v>
      </c>
      <c r="W438" t="s">
        <v>59</v>
      </c>
      <c r="X438">
        <v>900000</v>
      </c>
      <c r="Y438">
        <v>1170000</v>
      </c>
      <c r="Z438" t="s">
        <v>56</v>
      </c>
      <c r="AA438" t="s">
        <v>60</v>
      </c>
      <c r="AB438" t="s">
        <v>117</v>
      </c>
      <c r="AC438" t="s">
        <v>83</v>
      </c>
      <c r="AD438" t="s">
        <v>76</v>
      </c>
      <c r="AE438">
        <v>35802000</v>
      </c>
      <c r="AF438">
        <v>30600000</v>
      </c>
      <c r="AG438">
        <v>5202000</v>
      </c>
      <c r="AH438" t="b">
        <v>1</v>
      </c>
      <c r="AI438" t="b">
        <v>1</v>
      </c>
      <c r="AJ438">
        <v>0</v>
      </c>
      <c r="AK438">
        <v>1</v>
      </c>
      <c r="AL438" t="b">
        <v>1</v>
      </c>
      <c r="AM438" t="b">
        <v>0</v>
      </c>
      <c r="AN438">
        <v>35802000</v>
      </c>
      <c r="AO438">
        <v>5202000</v>
      </c>
      <c r="AP438">
        <v>34</v>
      </c>
      <c r="AQ438">
        <v>34</v>
      </c>
      <c r="AR438">
        <v>0</v>
      </c>
      <c r="AS438">
        <v>1</v>
      </c>
      <c r="AT438">
        <v>0</v>
      </c>
      <c r="AU438">
        <v>5202000</v>
      </c>
    </row>
    <row r="439" spans="1:47" x14ac:dyDescent="0.3">
      <c r="A439" s="1">
        <v>46156</v>
      </c>
      <c r="B439" t="s">
        <v>181</v>
      </c>
      <c r="C439">
        <v>1</v>
      </c>
      <c r="D439" t="s">
        <v>330</v>
      </c>
      <c r="E439" t="s">
        <v>105</v>
      </c>
      <c r="F439" t="s">
        <v>114</v>
      </c>
      <c r="G439">
        <v>22</v>
      </c>
      <c r="H439">
        <v>22</v>
      </c>
      <c r="I439">
        <v>212000</v>
      </c>
      <c r="J439">
        <v>0.08</v>
      </c>
      <c r="K439" t="s">
        <v>51</v>
      </c>
      <c r="L439" s="1">
        <v>46166</v>
      </c>
      <c r="M439" s="1">
        <v>46169</v>
      </c>
      <c r="N439" t="s">
        <v>52</v>
      </c>
      <c r="P439">
        <v>437</v>
      </c>
      <c r="Q439" t="s">
        <v>331</v>
      </c>
      <c r="R439" t="s">
        <v>83</v>
      </c>
      <c r="S439" t="s">
        <v>55</v>
      </c>
      <c r="T439" t="s">
        <v>56</v>
      </c>
      <c r="U439" t="s">
        <v>108</v>
      </c>
      <c r="V439" t="s">
        <v>109</v>
      </c>
      <c r="W439" t="s">
        <v>110</v>
      </c>
      <c r="X439">
        <v>180000</v>
      </c>
      <c r="Y439">
        <v>212000</v>
      </c>
      <c r="Z439" t="s">
        <v>56</v>
      </c>
      <c r="AA439" t="s">
        <v>73</v>
      </c>
      <c r="AB439" t="s">
        <v>117</v>
      </c>
      <c r="AC439" t="s">
        <v>83</v>
      </c>
      <c r="AD439" t="s">
        <v>76</v>
      </c>
      <c r="AE439">
        <v>4290880</v>
      </c>
      <c r="AF439">
        <v>3960000</v>
      </c>
      <c r="AG439">
        <v>330880</v>
      </c>
      <c r="AH439" t="b">
        <v>1</v>
      </c>
      <c r="AI439" t="b">
        <v>1</v>
      </c>
      <c r="AJ439">
        <v>0</v>
      </c>
      <c r="AK439">
        <v>3</v>
      </c>
      <c r="AL439" t="b">
        <v>1</v>
      </c>
      <c r="AM439" t="b">
        <v>0</v>
      </c>
      <c r="AN439">
        <v>4290880</v>
      </c>
      <c r="AO439">
        <v>330880</v>
      </c>
      <c r="AP439">
        <v>22</v>
      </c>
      <c r="AQ439">
        <v>22</v>
      </c>
      <c r="AR439">
        <v>0</v>
      </c>
      <c r="AS439">
        <v>1</v>
      </c>
      <c r="AT439">
        <v>0</v>
      </c>
      <c r="AU439">
        <v>330880</v>
      </c>
    </row>
    <row r="440" spans="1:47" x14ac:dyDescent="0.3">
      <c r="A440" s="1">
        <v>46028</v>
      </c>
      <c r="B440" t="s">
        <v>488</v>
      </c>
      <c r="C440">
        <v>2</v>
      </c>
      <c r="D440" t="s">
        <v>194</v>
      </c>
      <c r="E440" t="s">
        <v>147</v>
      </c>
      <c r="F440" t="s">
        <v>80</v>
      </c>
      <c r="G440">
        <v>19</v>
      </c>
      <c r="H440">
        <v>19</v>
      </c>
      <c r="I440">
        <v>614000</v>
      </c>
      <c r="J440">
        <v>0.1</v>
      </c>
      <c r="K440" t="s">
        <v>51</v>
      </c>
      <c r="L440" s="1">
        <v>46029</v>
      </c>
      <c r="M440" s="1">
        <v>46029</v>
      </c>
      <c r="N440" t="s">
        <v>81</v>
      </c>
      <c r="P440">
        <v>438</v>
      </c>
      <c r="Q440" t="s">
        <v>195</v>
      </c>
      <c r="R440" t="s">
        <v>54</v>
      </c>
      <c r="S440" t="s">
        <v>123</v>
      </c>
      <c r="T440" t="s">
        <v>56</v>
      </c>
      <c r="U440" t="s">
        <v>149</v>
      </c>
      <c r="V440" t="s">
        <v>138</v>
      </c>
      <c r="W440" t="s">
        <v>139</v>
      </c>
      <c r="X440">
        <v>480000</v>
      </c>
      <c r="Y440">
        <v>614000</v>
      </c>
      <c r="Z440" t="s">
        <v>56</v>
      </c>
      <c r="AA440" t="s">
        <v>129</v>
      </c>
      <c r="AB440" t="s">
        <v>88</v>
      </c>
      <c r="AC440" t="s">
        <v>83</v>
      </c>
      <c r="AD440" t="s">
        <v>94</v>
      </c>
      <c r="AE440">
        <v>10499400</v>
      </c>
      <c r="AF440">
        <v>9120000</v>
      </c>
      <c r="AG440">
        <v>1379400</v>
      </c>
      <c r="AH440" t="b">
        <v>1</v>
      </c>
      <c r="AI440" t="b">
        <v>1</v>
      </c>
      <c r="AJ440">
        <v>1</v>
      </c>
      <c r="AK440">
        <v>0</v>
      </c>
      <c r="AL440" t="b">
        <v>1</v>
      </c>
      <c r="AM440" t="b">
        <v>0</v>
      </c>
      <c r="AN440">
        <v>10499400</v>
      </c>
      <c r="AO440">
        <v>1379400</v>
      </c>
      <c r="AP440">
        <v>19</v>
      </c>
      <c r="AQ440">
        <v>19</v>
      </c>
      <c r="AR440">
        <v>1</v>
      </c>
      <c r="AS440">
        <v>1</v>
      </c>
      <c r="AT440">
        <v>0</v>
      </c>
      <c r="AU440">
        <v>1379400</v>
      </c>
    </row>
    <row r="441" spans="1:47" x14ac:dyDescent="0.3">
      <c r="A441" s="1">
        <v>46063</v>
      </c>
      <c r="B441" t="s">
        <v>602</v>
      </c>
      <c r="C441">
        <v>1</v>
      </c>
      <c r="D441" t="s">
        <v>171</v>
      </c>
      <c r="E441" t="s">
        <v>156</v>
      </c>
      <c r="F441" t="s">
        <v>114</v>
      </c>
      <c r="G441">
        <v>14</v>
      </c>
      <c r="H441">
        <v>14</v>
      </c>
      <c r="I441">
        <v>243000</v>
      </c>
      <c r="J441">
        <v>0.02</v>
      </c>
      <c r="K441" t="s">
        <v>51</v>
      </c>
      <c r="L441" s="1">
        <v>46065</v>
      </c>
      <c r="M441" s="1">
        <v>46068</v>
      </c>
      <c r="N441" t="s">
        <v>52</v>
      </c>
      <c r="P441">
        <v>439</v>
      </c>
      <c r="Q441" t="s">
        <v>172</v>
      </c>
      <c r="R441" t="s">
        <v>54</v>
      </c>
      <c r="S441" t="s">
        <v>84</v>
      </c>
      <c r="T441" t="s">
        <v>56</v>
      </c>
      <c r="U441" t="s">
        <v>157</v>
      </c>
      <c r="V441" t="s">
        <v>71</v>
      </c>
      <c r="W441" t="s">
        <v>72</v>
      </c>
      <c r="X441">
        <v>180000</v>
      </c>
      <c r="Y441">
        <v>243000</v>
      </c>
      <c r="Z441" t="s">
        <v>56</v>
      </c>
      <c r="AA441" t="s">
        <v>73</v>
      </c>
      <c r="AB441" t="s">
        <v>117</v>
      </c>
      <c r="AC441" t="s">
        <v>83</v>
      </c>
      <c r="AD441" t="s">
        <v>158</v>
      </c>
      <c r="AE441">
        <v>3333960</v>
      </c>
      <c r="AF441">
        <v>2520000</v>
      </c>
      <c r="AG441">
        <v>813960</v>
      </c>
      <c r="AH441" t="b">
        <v>1</v>
      </c>
      <c r="AI441" t="b">
        <v>1</v>
      </c>
      <c r="AJ441">
        <v>0</v>
      </c>
      <c r="AK441">
        <v>3</v>
      </c>
      <c r="AL441" t="b">
        <v>1</v>
      </c>
      <c r="AM441" t="b">
        <v>0</v>
      </c>
      <c r="AN441">
        <v>3333960</v>
      </c>
      <c r="AO441">
        <v>813960</v>
      </c>
      <c r="AP441">
        <v>14</v>
      </c>
      <c r="AQ441">
        <v>14</v>
      </c>
      <c r="AR441">
        <v>0</v>
      </c>
      <c r="AS441">
        <v>1</v>
      </c>
      <c r="AT441">
        <v>0</v>
      </c>
      <c r="AU441">
        <v>813960</v>
      </c>
    </row>
    <row r="442" spans="1:47" x14ac:dyDescent="0.3">
      <c r="A442" s="1">
        <v>46169</v>
      </c>
      <c r="B442" t="s">
        <v>408</v>
      </c>
      <c r="C442">
        <v>2</v>
      </c>
      <c r="D442" t="s">
        <v>166</v>
      </c>
      <c r="E442" t="s">
        <v>378</v>
      </c>
      <c r="F442" t="s">
        <v>50</v>
      </c>
      <c r="G442">
        <v>35</v>
      </c>
      <c r="H442">
        <v>35</v>
      </c>
      <c r="I442">
        <v>793000</v>
      </c>
      <c r="J442">
        <v>0.05</v>
      </c>
      <c r="K442" t="s">
        <v>51</v>
      </c>
      <c r="L442" s="1">
        <v>46179</v>
      </c>
      <c r="M442" s="1">
        <v>46178</v>
      </c>
      <c r="N442" t="s">
        <v>106</v>
      </c>
      <c r="P442">
        <v>440</v>
      </c>
      <c r="Q442" t="s">
        <v>168</v>
      </c>
      <c r="R442" t="s">
        <v>54</v>
      </c>
      <c r="S442" t="s">
        <v>123</v>
      </c>
      <c r="T442" t="s">
        <v>56</v>
      </c>
      <c r="U442" t="s">
        <v>380</v>
      </c>
      <c r="V442" t="s">
        <v>101</v>
      </c>
      <c r="W442" t="s">
        <v>102</v>
      </c>
      <c r="X442">
        <v>650000</v>
      </c>
      <c r="Y442">
        <v>793000</v>
      </c>
      <c r="Z442" t="s">
        <v>56</v>
      </c>
      <c r="AA442" t="s">
        <v>129</v>
      </c>
      <c r="AB442" t="s">
        <v>61</v>
      </c>
      <c r="AC442" t="s">
        <v>54</v>
      </c>
      <c r="AD442" t="s">
        <v>76</v>
      </c>
      <c r="AE442">
        <v>26367250</v>
      </c>
      <c r="AF442">
        <v>22750000</v>
      </c>
      <c r="AG442">
        <v>3617250</v>
      </c>
      <c r="AH442" t="b">
        <v>1</v>
      </c>
      <c r="AI442" t="b">
        <v>1</v>
      </c>
      <c r="AJ442">
        <v>1</v>
      </c>
      <c r="AK442">
        <v>-1</v>
      </c>
      <c r="AL442" t="b">
        <v>1</v>
      </c>
      <c r="AM442" t="b">
        <v>0</v>
      </c>
      <c r="AN442">
        <v>26367250</v>
      </c>
      <c r="AO442">
        <v>3617250</v>
      </c>
      <c r="AP442">
        <v>35</v>
      </c>
      <c r="AQ442">
        <v>35</v>
      </c>
      <c r="AR442">
        <v>1</v>
      </c>
      <c r="AS442">
        <v>1</v>
      </c>
      <c r="AT442">
        <v>0</v>
      </c>
      <c r="AU442">
        <v>3617250</v>
      </c>
    </row>
    <row r="443" spans="1:47" x14ac:dyDescent="0.3">
      <c r="A443" s="1">
        <v>46121</v>
      </c>
      <c r="B443" t="s">
        <v>241</v>
      </c>
      <c r="C443">
        <v>1</v>
      </c>
      <c r="D443" t="s">
        <v>174</v>
      </c>
      <c r="E443" t="s">
        <v>259</v>
      </c>
      <c r="F443" t="s">
        <v>80</v>
      </c>
      <c r="G443">
        <v>29</v>
      </c>
      <c r="H443">
        <v>29</v>
      </c>
      <c r="I443">
        <v>146000</v>
      </c>
      <c r="J443">
        <v>0</v>
      </c>
      <c r="K443" t="s">
        <v>51</v>
      </c>
      <c r="L443" s="1">
        <v>46131</v>
      </c>
      <c r="M443" s="1">
        <v>46138</v>
      </c>
      <c r="N443" t="s">
        <v>106</v>
      </c>
      <c r="P443">
        <v>441</v>
      </c>
      <c r="Q443" t="s">
        <v>176</v>
      </c>
      <c r="R443" t="s">
        <v>83</v>
      </c>
      <c r="S443" t="s">
        <v>69</v>
      </c>
      <c r="T443" t="s">
        <v>56</v>
      </c>
      <c r="U443" t="s">
        <v>260</v>
      </c>
      <c r="V443" t="s">
        <v>101</v>
      </c>
      <c r="W443" t="s">
        <v>102</v>
      </c>
      <c r="X443">
        <v>120000</v>
      </c>
      <c r="Y443">
        <v>146000</v>
      </c>
      <c r="Z443" t="s">
        <v>56</v>
      </c>
      <c r="AA443" t="s">
        <v>129</v>
      </c>
      <c r="AB443" t="s">
        <v>88</v>
      </c>
      <c r="AC443" t="s">
        <v>83</v>
      </c>
      <c r="AD443" t="s">
        <v>130</v>
      </c>
      <c r="AE443">
        <v>4234000</v>
      </c>
      <c r="AF443">
        <v>3480000</v>
      </c>
      <c r="AG443">
        <v>754000</v>
      </c>
      <c r="AH443" t="b">
        <v>1</v>
      </c>
      <c r="AI443" t="b">
        <v>1</v>
      </c>
      <c r="AJ443">
        <v>0</v>
      </c>
      <c r="AK443">
        <v>7</v>
      </c>
      <c r="AL443" t="b">
        <v>1</v>
      </c>
      <c r="AM443" t="b">
        <v>0</v>
      </c>
      <c r="AN443">
        <v>4234000</v>
      </c>
      <c r="AO443">
        <v>754000</v>
      </c>
      <c r="AP443">
        <v>29</v>
      </c>
      <c r="AQ443">
        <v>29</v>
      </c>
      <c r="AR443">
        <v>0</v>
      </c>
      <c r="AS443">
        <v>1</v>
      </c>
      <c r="AT443">
        <v>0</v>
      </c>
      <c r="AU443">
        <v>754000</v>
      </c>
    </row>
    <row r="444" spans="1:47" x14ac:dyDescent="0.3">
      <c r="A444" s="1">
        <v>46142</v>
      </c>
      <c r="B444" t="s">
        <v>603</v>
      </c>
      <c r="C444">
        <v>1</v>
      </c>
      <c r="D444" t="s">
        <v>182</v>
      </c>
      <c r="E444" t="s">
        <v>236</v>
      </c>
      <c r="F444" t="s">
        <v>66</v>
      </c>
      <c r="G444">
        <v>20</v>
      </c>
      <c r="H444">
        <v>20</v>
      </c>
      <c r="I444">
        <v>448000</v>
      </c>
      <c r="J444">
        <v>0.05</v>
      </c>
      <c r="K444" t="s">
        <v>51</v>
      </c>
      <c r="L444" s="1">
        <v>46144</v>
      </c>
      <c r="M444" s="1">
        <v>46144</v>
      </c>
      <c r="N444" t="s">
        <v>81</v>
      </c>
      <c r="P444">
        <v>442</v>
      </c>
      <c r="Q444" t="s">
        <v>183</v>
      </c>
      <c r="R444" t="s">
        <v>75</v>
      </c>
      <c r="S444" t="s">
        <v>69</v>
      </c>
      <c r="T444" t="s">
        <v>56</v>
      </c>
      <c r="U444" t="s">
        <v>237</v>
      </c>
      <c r="V444" t="s">
        <v>138</v>
      </c>
      <c r="W444" t="s">
        <v>139</v>
      </c>
      <c r="X444">
        <v>350000</v>
      </c>
      <c r="Y444">
        <v>448000</v>
      </c>
      <c r="Z444" t="s">
        <v>134</v>
      </c>
      <c r="AA444" t="s">
        <v>73</v>
      </c>
      <c r="AB444" t="s">
        <v>74</v>
      </c>
      <c r="AC444" t="s">
        <v>75</v>
      </c>
      <c r="AD444" t="s">
        <v>130</v>
      </c>
      <c r="AE444">
        <v>8512000</v>
      </c>
      <c r="AF444">
        <v>7000000</v>
      </c>
      <c r="AG444">
        <v>1512000</v>
      </c>
      <c r="AH444" t="b">
        <v>1</v>
      </c>
      <c r="AI444" t="b">
        <v>1</v>
      </c>
      <c r="AJ444">
        <v>1</v>
      </c>
      <c r="AK444">
        <v>0</v>
      </c>
      <c r="AL444" t="b">
        <v>1</v>
      </c>
      <c r="AM444" t="b">
        <v>0</v>
      </c>
      <c r="AN444">
        <v>8512000</v>
      </c>
      <c r="AO444">
        <v>1512000</v>
      </c>
      <c r="AP444">
        <v>20</v>
      </c>
      <c r="AQ444">
        <v>20</v>
      </c>
      <c r="AR444">
        <v>1</v>
      </c>
      <c r="AS444">
        <v>1</v>
      </c>
      <c r="AT444">
        <v>0</v>
      </c>
      <c r="AU444">
        <v>1512000</v>
      </c>
    </row>
    <row r="445" spans="1:47" x14ac:dyDescent="0.3">
      <c r="A445" s="1">
        <v>46180</v>
      </c>
      <c r="B445" t="s">
        <v>604</v>
      </c>
      <c r="C445">
        <v>3</v>
      </c>
      <c r="D445" t="s">
        <v>151</v>
      </c>
      <c r="E445" t="s">
        <v>197</v>
      </c>
      <c r="F445" t="s">
        <v>50</v>
      </c>
      <c r="G445">
        <v>21</v>
      </c>
      <c r="H445">
        <v>21</v>
      </c>
      <c r="I445">
        <v>1215000</v>
      </c>
      <c r="J445">
        <v>0.05</v>
      </c>
      <c r="K445" t="s">
        <v>51</v>
      </c>
      <c r="L445" s="1">
        <v>46181</v>
      </c>
      <c r="M445" s="1">
        <v>46181</v>
      </c>
      <c r="N445" t="s">
        <v>67</v>
      </c>
      <c r="P445">
        <v>443</v>
      </c>
      <c r="Q445" t="s">
        <v>153</v>
      </c>
      <c r="R445" t="s">
        <v>75</v>
      </c>
      <c r="S445" t="s">
        <v>69</v>
      </c>
      <c r="T445" t="s">
        <v>56</v>
      </c>
      <c r="U445" t="s">
        <v>198</v>
      </c>
      <c r="V445" t="s">
        <v>71</v>
      </c>
      <c r="W445" t="s">
        <v>72</v>
      </c>
      <c r="X445">
        <v>900000</v>
      </c>
      <c r="Y445">
        <v>1215000</v>
      </c>
      <c r="Z445" t="s">
        <v>56</v>
      </c>
      <c r="AA445" t="s">
        <v>129</v>
      </c>
      <c r="AB445" t="s">
        <v>61</v>
      </c>
      <c r="AC445" t="s">
        <v>54</v>
      </c>
      <c r="AD445" t="s">
        <v>118</v>
      </c>
      <c r="AE445">
        <v>24239250</v>
      </c>
      <c r="AF445">
        <v>18900000</v>
      </c>
      <c r="AG445">
        <v>5339250</v>
      </c>
      <c r="AH445" t="b">
        <v>1</v>
      </c>
      <c r="AI445" t="b">
        <v>1</v>
      </c>
      <c r="AJ445">
        <v>1</v>
      </c>
      <c r="AK445">
        <v>0</v>
      </c>
      <c r="AL445" t="b">
        <v>1</v>
      </c>
      <c r="AM445" t="b">
        <v>0</v>
      </c>
      <c r="AN445">
        <v>24239250</v>
      </c>
      <c r="AO445">
        <v>5339250</v>
      </c>
      <c r="AP445">
        <v>21</v>
      </c>
      <c r="AQ445">
        <v>21</v>
      </c>
      <c r="AR445">
        <v>1</v>
      </c>
      <c r="AS445">
        <v>1</v>
      </c>
      <c r="AT445">
        <v>0</v>
      </c>
      <c r="AU445">
        <v>5339250</v>
      </c>
    </row>
    <row r="446" spans="1:47" x14ac:dyDescent="0.3">
      <c r="A446" s="1">
        <v>46141</v>
      </c>
      <c r="B446" t="s">
        <v>605</v>
      </c>
      <c r="C446">
        <v>3</v>
      </c>
      <c r="D446" t="s">
        <v>188</v>
      </c>
      <c r="E446" t="s">
        <v>348</v>
      </c>
      <c r="F446" t="s">
        <v>114</v>
      </c>
      <c r="G446">
        <v>26</v>
      </c>
      <c r="H446">
        <v>25</v>
      </c>
      <c r="I446">
        <v>566000</v>
      </c>
      <c r="J446">
        <v>0</v>
      </c>
      <c r="K446" t="s">
        <v>98</v>
      </c>
      <c r="L446" s="1">
        <v>46144</v>
      </c>
      <c r="N446" t="s">
        <v>106</v>
      </c>
      <c r="P446">
        <v>444</v>
      </c>
      <c r="Q446" t="s">
        <v>190</v>
      </c>
      <c r="R446" t="s">
        <v>83</v>
      </c>
      <c r="S446" t="s">
        <v>123</v>
      </c>
      <c r="T446" t="s">
        <v>56</v>
      </c>
      <c r="U446" t="s">
        <v>349</v>
      </c>
      <c r="V446" t="s">
        <v>109</v>
      </c>
      <c r="W446" t="s">
        <v>110</v>
      </c>
      <c r="X446">
        <v>480000</v>
      </c>
      <c r="Y446">
        <v>566000</v>
      </c>
      <c r="Z446" t="s">
        <v>56</v>
      </c>
      <c r="AA446" t="s">
        <v>60</v>
      </c>
      <c r="AB446" t="s">
        <v>117</v>
      </c>
      <c r="AC446" t="s">
        <v>83</v>
      </c>
      <c r="AD446" t="s">
        <v>130</v>
      </c>
      <c r="AE446">
        <v>14150000</v>
      </c>
      <c r="AF446">
        <v>12000000</v>
      </c>
      <c r="AG446">
        <v>2150000</v>
      </c>
      <c r="AH446" t="b">
        <v>1</v>
      </c>
      <c r="AI446" t="b">
        <v>0</v>
      </c>
      <c r="AL446" t="b">
        <v>1</v>
      </c>
      <c r="AM446" t="b">
        <v>0</v>
      </c>
      <c r="AN446">
        <v>14150000</v>
      </c>
      <c r="AO446">
        <v>2150000</v>
      </c>
      <c r="AP446">
        <v>25</v>
      </c>
      <c r="AQ446">
        <v>26</v>
      </c>
      <c r="AR446">
        <v>0</v>
      </c>
      <c r="AS446">
        <v>0</v>
      </c>
      <c r="AT446">
        <v>0</v>
      </c>
      <c r="AU446">
        <v>2150000</v>
      </c>
    </row>
    <row r="447" spans="1:47" x14ac:dyDescent="0.3">
      <c r="A447" s="1">
        <v>46100</v>
      </c>
      <c r="B447" t="s">
        <v>606</v>
      </c>
      <c r="C447">
        <v>4</v>
      </c>
      <c r="D447" t="s">
        <v>151</v>
      </c>
      <c r="E447" t="s">
        <v>167</v>
      </c>
      <c r="F447" t="s">
        <v>80</v>
      </c>
      <c r="G447">
        <v>16</v>
      </c>
      <c r="H447">
        <v>16</v>
      </c>
      <c r="I447">
        <v>1062000</v>
      </c>
      <c r="J447">
        <v>0</v>
      </c>
      <c r="K447" t="s">
        <v>51</v>
      </c>
      <c r="L447" s="1">
        <v>46103</v>
      </c>
      <c r="M447" s="1">
        <v>46103</v>
      </c>
      <c r="N447" t="s">
        <v>67</v>
      </c>
      <c r="P447">
        <v>445</v>
      </c>
      <c r="Q447" t="s">
        <v>153</v>
      </c>
      <c r="R447" t="s">
        <v>75</v>
      </c>
      <c r="S447" t="s">
        <v>69</v>
      </c>
      <c r="T447" t="s">
        <v>56</v>
      </c>
      <c r="U447" t="s">
        <v>169</v>
      </c>
      <c r="V447" t="s">
        <v>109</v>
      </c>
      <c r="W447" t="s">
        <v>110</v>
      </c>
      <c r="X447">
        <v>900000</v>
      </c>
      <c r="Y447">
        <v>1062000</v>
      </c>
      <c r="Z447" t="s">
        <v>56</v>
      </c>
      <c r="AA447" t="s">
        <v>60</v>
      </c>
      <c r="AB447" t="s">
        <v>88</v>
      </c>
      <c r="AC447" t="s">
        <v>83</v>
      </c>
      <c r="AD447" t="s">
        <v>62</v>
      </c>
      <c r="AE447">
        <v>16992000</v>
      </c>
      <c r="AF447">
        <v>14400000</v>
      </c>
      <c r="AG447">
        <v>2592000</v>
      </c>
      <c r="AH447" t="b">
        <v>1</v>
      </c>
      <c r="AI447" t="b">
        <v>1</v>
      </c>
      <c r="AJ447">
        <v>1</v>
      </c>
      <c r="AK447">
        <v>0</v>
      </c>
      <c r="AL447" t="b">
        <v>1</v>
      </c>
      <c r="AM447" t="b">
        <v>0</v>
      </c>
      <c r="AN447">
        <v>16992000</v>
      </c>
      <c r="AO447">
        <v>2592000</v>
      </c>
      <c r="AP447">
        <v>16</v>
      </c>
      <c r="AQ447">
        <v>16</v>
      </c>
      <c r="AR447">
        <v>1</v>
      </c>
      <c r="AS447">
        <v>1</v>
      </c>
      <c r="AT447">
        <v>0</v>
      </c>
      <c r="AU447">
        <v>2592000</v>
      </c>
    </row>
    <row r="448" spans="1:47" x14ac:dyDescent="0.3">
      <c r="A448" s="1">
        <v>46134</v>
      </c>
      <c r="B448" t="s">
        <v>607</v>
      </c>
      <c r="C448">
        <v>2</v>
      </c>
      <c r="D448" t="s">
        <v>269</v>
      </c>
      <c r="E448" t="s">
        <v>79</v>
      </c>
      <c r="F448" t="s">
        <v>66</v>
      </c>
      <c r="G448">
        <v>8</v>
      </c>
      <c r="H448">
        <v>8</v>
      </c>
      <c r="I448">
        <v>150000</v>
      </c>
      <c r="J448">
        <v>0.08</v>
      </c>
      <c r="K448" t="s">
        <v>51</v>
      </c>
      <c r="L448" s="1">
        <v>46135</v>
      </c>
      <c r="M448" s="1">
        <v>46142</v>
      </c>
      <c r="N448" t="s">
        <v>67</v>
      </c>
      <c r="P448">
        <v>446</v>
      </c>
      <c r="Q448" t="s">
        <v>270</v>
      </c>
      <c r="R448" t="s">
        <v>83</v>
      </c>
      <c r="S448" t="s">
        <v>55</v>
      </c>
      <c r="T448" t="s">
        <v>56</v>
      </c>
      <c r="U448" t="s">
        <v>85</v>
      </c>
      <c r="V448" t="s">
        <v>86</v>
      </c>
      <c r="W448" t="s">
        <v>87</v>
      </c>
      <c r="X448">
        <v>120000</v>
      </c>
      <c r="Y448">
        <v>150000</v>
      </c>
      <c r="Z448" t="s">
        <v>56</v>
      </c>
      <c r="AA448" t="s">
        <v>60</v>
      </c>
      <c r="AB448" t="s">
        <v>74</v>
      </c>
      <c r="AC448" t="s">
        <v>75</v>
      </c>
      <c r="AD448" t="s">
        <v>130</v>
      </c>
      <c r="AE448">
        <v>1104000</v>
      </c>
      <c r="AF448">
        <v>960000</v>
      </c>
      <c r="AG448">
        <v>144000</v>
      </c>
      <c r="AH448" t="b">
        <v>1</v>
      </c>
      <c r="AI448" t="b">
        <v>1</v>
      </c>
      <c r="AJ448">
        <v>0</v>
      </c>
      <c r="AK448">
        <v>7</v>
      </c>
      <c r="AL448" t="b">
        <v>1</v>
      </c>
      <c r="AM448" t="b">
        <v>0</v>
      </c>
      <c r="AN448">
        <v>1104000</v>
      </c>
      <c r="AO448">
        <v>144000</v>
      </c>
      <c r="AP448">
        <v>8</v>
      </c>
      <c r="AQ448">
        <v>8</v>
      </c>
      <c r="AR448">
        <v>0</v>
      </c>
      <c r="AS448">
        <v>1</v>
      </c>
      <c r="AT448">
        <v>0</v>
      </c>
      <c r="AU448">
        <v>144000</v>
      </c>
    </row>
    <row r="449" spans="1:47" x14ac:dyDescent="0.3">
      <c r="A449" s="1">
        <v>46068</v>
      </c>
      <c r="B449" t="s">
        <v>228</v>
      </c>
      <c r="C449">
        <v>4</v>
      </c>
      <c r="D449" t="s">
        <v>166</v>
      </c>
      <c r="E449" t="s">
        <v>236</v>
      </c>
      <c r="F449" t="s">
        <v>66</v>
      </c>
      <c r="G449">
        <v>21</v>
      </c>
      <c r="H449">
        <v>21</v>
      </c>
      <c r="I449">
        <v>448000</v>
      </c>
      <c r="J449">
        <v>0</v>
      </c>
      <c r="K449" t="s">
        <v>51</v>
      </c>
      <c r="L449" s="1">
        <v>46070</v>
      </c>
      <c r="M449" s="1">
        <v>46077</v>
      </c>
      <c r="N449" t="s">
        <v>81</v>
      </c>
      <c r="P449">
        <v>447</v>
      </c>
      <c r="Q449" t="s">
        <v>168</v>
      </c>
      <c r="R449" t="s">
        <v>54</v>
      </c>
      <c r="S449" t="s">
        <v>123</v>
      </c>
      <c r="T449" t="s">
        <v>56</v>
      </c>
      <c r="U449" t="s">
        <v>237</v>
      </c>
      <c r="V449" t="s">
        <v>138</v>
      </c>
      <c r="W449" t="s">
        <v>139</v>
      </c>
      <c r="X449">
        <v>350000</v>
      </c>
      <c r="Y449">
        <v>448000</v>
      </c>
      <c r="Z449" t="s">
        <v>134</v>
      </c>
      <c r="AA449" t="s">
        <v>73</v>
      </c>
      <c r="AB449" t="s">
        <v>74</v>
      </c>
      <c r="AC449" t="s">
        <v>75</v>
      </c>
      <c r="AD449" t="s">
        <v>158</v>
      </c>
      <c r="AE449">
        <v>9408000</v>
      </c>
      <c r="AF449">
        <v>7350000</v>
      </c>
      <c r="AG449">
        <v>2058000</v>
      </c>
      <c r="AH449" t="b">
        <v>1</v>
      </c>
      <c r="AI449" t="b">
        <v>1</v>
      </c>
      <c r="AJ449">
        <v>0</v>
      </c>
      <c r="AK449">
        <v>7</v>
      </c>
      <c r="AL449" t="b">
        <v>1</v>
      </c>
      <c r="AM449" t="b">
        <v>0</v>
      </c>
      <c r="AN449">
        <v>9408000</v>
      </c>
      <c r="AO449">
        <v>2058000</v>
      </c>
      <c r="AP449">
        <v>21</v>
      </c>
      <c r="AQ449">
        <v>21</v>
      </c>
      <c r="AR449">
        <v>0</v>
      </c>
      <c r="AS449">
        <v>1</v>
      </c>
      <c r="AT449">
        <v>0</v>
      </c>
      <c r="AU449">
        <v>2058000</v>
      </c>
    </row>
    <row r="450" spans="1:47" x14ac:dyDescent="0.3">
      <c r="A450" s="1">
        <v>46171</v>
      </c>
      <c r="B450" t="s">
        <v>441</v>
      </c>
      <c r="C450">
        <v>2</v>
      </c>
      <c r="D450" t="s">
        <v>250</v>
      </c>
      <c r="E450" t="s">
        <v>160</v>
      </c>
      <c r="F450" t="s">
        <v>50</v>
      </c>
      <c r="G450">
        <v>25</v>
      </c>
      <c r="H450">
        <v>25</v>
      </c>
      <c r="I450">
        <v>1125000</v>
      </c>
      <c r="J450">
        <v>0</v>
      </c>
      <c r="K450" t="s">
        <v>51</v>
      </c>
      <c r="L450" s="1">
        <v>46181</v>
      </c>
      <c r="M450" s="1">
        <v>46181</v>
      </c>
      <c r="N450" t="s">
        <v>52</v>
      </c>
      <c r="P450">
        <v>448</v>
      </c>
      <c r="Q450" t="s">
        <v>251</v>
      </c>
      <c r="R450" t="s">
        <v>54</v>
      </c>
      <c r="S450" t="s">
        <v>123</v>
      </c>
      <c r="T450" t="s">
        <v>56</v>
      </c>
      <c r="U450" t="s">
        <v>161</v>
      </c>
      <c r="V450" t="s">
        <v>86</v>
      </c>
      <c r="W450" t="s">
        <v>87</v>
      </c>
      <c r="X450">
        <v>900000</v>
      </c>
      <c r="Y450">
        <v>1125000</v>
      </c>
      <c r="Z450" t="s">
        <v>56</v>
      </c>
      <c r="AA450" t="s">
        <v>60</v>
      </c>
      <c r="AB450" t="s">
        <v>61</v>
      </c>
      <c r="AC450" t="s">
        <v>54</v>
      </c>
      <c r="AD450" t="s">
        <v>76</v>
      </c>
      <c r="AE450">
        <v>28125000</v>
      </c>
      <c r="AF450">
        <v>22500000</v>
      </c>
      <c r="AG450">
        <v>5625000</v>
      </c>
      <c r="AH450" t="b">
        <v>1</v>
      </c>
      <c r="AI450" t="b">
        <v>1</v>
      </c>
      <c r="AJ450">
        <v>1</v>
      </c>
      <c r="AK450">
        <v>0</v>
      </c>
      <c r="AL450" t="b">
        <v>1</v>
      </c>
      <c r="AM450" t="b">
        <v>0</v>
      </c>
      <c r="AN450">
        <v>28125000</v>
      </c>
      <c r="AO450">
        <v>5625000</v>
      </c>
      <c r="AP450">
        <v>25</v>
      </c>
      <c r="AQ450">
        <v>25</v>
      </c>
      <c r="AR450">
        <v>1</v>
      </c>
      <c r="AS450">
        <v>1</v>
      </c>
      <c r="AT450">
        <v>0</v>
      </c>
      <c r="AU450">
        <v>5625000</v>
      </c>
    </row>
    <row r="451" spans="1:47" x14ac:dyDescent="0.3">
      <c r="A451" s="1">
        <v>46168</v>
      </c>
      <c r="B451" t="s">
        <v>608</v>
      </c>
      <c r="C451">
        <v>4</v>
      </c>
      <c r="D451" t="s">
        <v>188</v>
      </c>
      <c r="E451" t="s">
        <v>65</v>
      </c>
      <c r="F451" t="s">
        <v>114</v>
      </c>
      <c r="G451">
        <v>33</v>
      </c>
      <c r="H451">
        <v>33</v>
      </c>
      <c r="I451">
        <v>2430000</v>
      </c>
      <c r="J451">
        <v>0</v>
      </c>
      <c r="K451" t="s">
        <v>51</v>
      </c>
      <c r="L451" s="1">
        <v>46171</v>
      </c>
      <c r="M451" s="1">
        <v>46173</v>
      </c>
      <c r="N451" t="s">
        <v>106</v>
      </c>
      <c r="P451">
        <v>449</v>
      </c>
      <c r="Q451" t="s">
        <v>190</v>
      </c>
      <c r="R451" t="s">
        <v>83</v>
      </c>
      <c r="S451" t="s">
        <v>123</v>
      </c>
      <c r="T451" t="s">
        <v>56</v>
      </c>
      <c r="U451" t="s">
        <v>70</v>
      </c>
      <c r="V451" t="s">
        <v>71</v>
      </c>
      <c r="W451" t="s">
        <v>72</v>
      </c>
      <c r="X451">
        <v>1800000</v>
      </c>
      <c r="Y451">
        <v>2430000</v>
      </c>
      <c r="Z451" t="s">
        <v>56</v>
      </c>
      <c r="AA451" t="s">
        <v>73</v>
      </c>
      <c r="AB451" t="s">
        <v>117</v>
      </c>
      <c r="AC451" t="s">
        <v>83</v>
      </c>
      <c r="AD451" t="s">
        <v>76</v>
      </c>
      <c r="AE451">
        <v>80190000</v>
      </c>
      <c r="AF451">
        <v>59400000</v>
      </c>
      <c r="AG451">
        <v>20790000</v>
      </c>
      <c r="AH451" t="b">
        <v>1</v>
      </c>
      <c r="AI451" t="b">
        <v>1</v>
      </c>
      <c r="AJ451">
        <v>0</v>
      </c>
      <c r="AK451">
        <v>2</v>
      </c>
      <c r="AL451" t="b">
        <v>1</v>
      </c>
      <c r="AM451" t="b">
        <v>0</v>
      </c>
      <c r="AN451">
        <v>80190000</v>
      </c>
      <c r="AO451">
        <v>20790000</v>
      </c>
      <c r="AP451">
        <v>33</v>
      </c>
      <c r="AQ451">
        <v>33</v>
      </c>
      <c r="AR451">
        <v>0</v>
      </c>
      <c r="AS451">
        <v>1</v>
      </c>
      <c r="AT451">
        <v>0</v>
      </c>
      <c r="AU451">
        <v>20790000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7"/>
  <sheetViews>
    <sheetView workbookViewId="0"/>
  </sheetViews>
  <sheetFormatPr defaultRowHeight="14.4" x14ac:dyDescent="0.3"/>
  <sheetData>
    <row r="1" spans="1:10" x14ac:dyDescent="0.3">
      <c r="A1" t="s">
        <v>4</v>
      </c>
      <c r="B1" t="s">
        <v>20</v>
      </c>
      <c r="C1" t="s">
        <v>22</v>
      </c>
      <c r="D1" t="s">
        <v>26</v>
      </c>
      <c r="E1" t="s">
        <v>25</v>
      </c>
      <c r="F1" t="s">
        <v>609</v>
      </c>
      <c r="G1" t="s">
        <v>610</v>
      </c>
      <c r="H1" t="s">
        <v>611</v>
      </c>
      <c r="I1" t="s">
        <v>612</v>
      </c>
      <c r="J1" t="s">
        <v>613</v>
      </c>
    </row>
    <row r="2" spans="1:10" x14ac:dyDescent="0.3">
      <c r="A2" t="s">
        <v>282</v>
      </c>
      <c r="B2" t="s">
        <v>283</v>
      </c>
      <c r="C2" t="s">
        <v>139</v>
      </c>
      <c r="D2" t="s">
        <v>129</v>
      </c>
      <c r="E2" t="s">
        <v>56</v>
      </c>
      <c r="F2">
        <v>230</v>
      </c>
      <c r="G2">
        <v>41400000</v>
      </c>
      <c r="H2">
        <v>168</v>
      </c>
      <c r="I2">
        <v>8.2142857142857135</v>
      </c>
      <c r="J2" t="b">
        <v>0</v>
      </c>
    </row>
    <row r="3" spans="1:10" x14ac:dyDescent="0.3">
      <c r="A3" t="s">
        <v>97</v>
      </c>
      <c r="B3" t="s">
        <v>100</v>
      </c>
      <c r="C3" t="s">
        <v>102</v>
      </c>
      <c r="D3" t="s">
        <v>73</v>
      </c>
      <c r="E3" t="s">
        <v>56</v>
      </c>
      <c r="F3">
        <v>140</v>
      </c>
      <c r="G3">
        <v>49000000</v>
      </c>
      <c r="H3">
        <v>144</v>
      </c>
      <c r="I3">
        <v>5.833333333333333</v>
      </c>
      <c r="J3" t="b">
        <v>0</v>
      </c>
    </row>
    <row r="4" spans="1:10" x14ac:dyDescent="0.3">
      <c r="A4" t="s">
        <v>105</v>
      </c>
      <c r="B4" t="s">
        <v>108</v>
      </c>
      <c r="C4" t="s">
        <v>110</v>
      </c>
      <c r="D4" t="s">
        <v>73</v>
      </c>
      <c r="E4" t="s">
        <v>56</v>
      </c>
      <c r="F4">
        <v>202</v>
      </c>
      <c r="G4">
        <v>36360000</v>
      </c>
      <c r="H4">
        <v>156</v>
      </c>
      <c r="I4">
        <v>7.7692307692307692</v>
      </c>
      <c r="J4" t="b">
        <v>0</v>
      </c>
    </row>
    <row r="5" spans="1:10" x14ac:dyDescent="0.3">
      <c r="A5" t="s">
        <v>220</v>
      </c>
      <c r="B5" t="s">
        <v>221</v>
      </c>
      <c r="C5" t="s">
        <v>59</v>
      </c>
      <c r="D5" t="s">
        <v>60</v>
      </c>
      <c r="E5" t="s">
        <v>56</v>
      </c>
      <c r="F5">
        <v>244</v>
      </c>
      <c r="G5">
        <v>43920000</v>
      </c>
      <c r="H5">
        <v>214</v>
      </c>
      <c r="I5">
        <v>6.8411214953271031</v>
      </c>
      <c r="J5" t="b">
        <v>0</v>
      </c>
    </row>
    <row r="6" spans="1:10" x14ac:dyDescent="0.3">
      <c r="A6" t="s">
        <v>79</v>
      </c>
      <c r="B6" t="s">
        <v>85</v>
      </c>
      <c r="C6" t="s">
        <v>87</v>
      </c>
      <c r="D6" t="s">
        <v>60</v>
      </c>
      <c r="E6" t="s">
        <v>56</v>
      </c>
      <c r="F6">
        <v>881</v>
      </c>
      <c r="G6">
        <v>105720000</v>
      </c>
      <c r="H6">
        <v>1125</v>
      </c>
      <c r="I6">
        <v>4.698666666666667</v>
      </c>
      <c r="J6" t="b">
        <v>0</v>
      </c>
    </row>
    <row r="7" spans="1:10" x14ac:dyDescent="0.3">
      <c r="A7" t="s">
        <v>65</v>
      </c>
      <c r="B7" t="s">
        <v>70</v>
      </c>
      <c r="C7" t="s">
        <v>72</v>
      </c>
      <c r="D7" t="s">
        <v>73</v>
      </c>
      <c r="E7" t="s">
        <v>56</v>
      </c>
      <c r="F7">
        <v>269</v>
      </c>
      <c r="G7">
        <v>484200000</v>
      </c>
      <c r="H7">
        <v>140</v>
      </c>
      <c r="I7">
        <v>11.52857142857143</v>
      </c>
      <c r="J7" t="b">
        <v>0</v>
      </c>
    </row>
    <row r="8" spans="1:10" x14ac:dyDescent="0.3">
      <c r="A8" t="s">
        <v>236</v>
      </c>
      <c r="B8" t="s">
        <v>237</v>
      </c>
      <c r="C8" t="s">
        <v>139</v>
      </c>
      <c r="D8" t="s">
        <v>73</v>
      </c>
      <c r="E8" t="s">
        <v>134</v>
      </c>
      <c r="F8">
        <v>502</v>
      </c>
      <c r="G8">
        <v>175700000</v>
      </c>
      <c r="H8">
        <v>187</v>
      </c>
      <c r="I8">
        <v>16.106951871657749</v>
      </c>
      <c r="J8" t="b">
        <v>1</v>
      </c>
    </row>
    <row r="9" spans="1:10" x14ac:dyDescent="0.3">
      <c r="A9" t="s">
        <v>230</v>
      </c>
      <c r="B9" t="s">
        <v>232</v>
      </c>
      <c r="C9" t="s">
        <v>102</v>
      </c>
      <c r="D9" t="s">
        <v>129</v>
      </c>
      <c r="E9" t="s">
        <v>56</v>
      </c>
      <c r="F9">
        <v>315</v>
      </c>
      <c r="G9">
        <v>567000000</v>
      </c>
      <c r="H9">
        <v>205</v>
      </c>
      <c r="I9">
        <v>9.2195121951219523</v>
      </c>
      <c r="J9" t="b">
        <v>0</v>
      </c>
    </row>
    <row r="10" spans="1:10" x14ac:dyDescent="0.3">
      <c r="A10" t="s">
        <v>348</v>
      </c>
      <c r="B10" t="s">
        <v>349</v>
      </c>
      <c r="C10" t="s">
        <v>110</v>
      </c>
      <c r="D10" t="s">
        <v>60</v>
      </c>
      <c r="E10" t="s">
        <v>56</v>
      </c>
      <c r="F10">
        <v>258</v>
      </c>
      <c r="G10">
        <v>123840000</v>
      </c>
      <c r="H10">
        <v>135</v>
      </c>
      <c r="I10">
        <v>11.46666666666667</v>
      </c>
      <c r="J10" t="b">
        <v>0</v>
      </c>
    </row>
    <row r="11" spans="1:10" x14ac:dyDescent="0.3">
      <c r="A11" t="s">
        <v>49</v>
      </c>
      <c r="B11" t="s">
        <v>57</v>
      </c>
      <c r="C11" t="s">
        <v>59</v>
      </c>
      <c r="D11" t="s">
        <v>60</v>
      </c>
      <c r="E11" t="s">
        <v>56</v>
      </c>
      <c r="F11">
        <v>153</v>
      </c>
      <c r="G11">
        <v>137700000</v>
      </c>
      <c r="H11">
        <v>143</v>
      </c>
      <c r="I11">
        <v>6.41958041958042</v>
      </c>
      <c r="J11" t="b">
        <v>0</v>
      </c>
    </row>
    <row r="12" spans="1:10" x14ac:dyDescent="0.3">
      <c r="A12" t="s">
        <v>311</v>
      </c>
      <c r="B12" t="s">
        <v>312</v>
      </c>
      <c r="C12" t="s">
        <v>87</v>
      </c>
      <c r="D12" t="s">
        <v>60</v>
      </c>
      <c r="E12" t="s">
        <v>56</v>
      </c>
      <c r="F12">
        <v>929</v>
      </c>
      <c r="G12">
        <v>325150000</v>
      </c>
      <c r="H12">
        <v>123</v>
      </c>
      <c r="I12">
        <v>45.31707317073171</v>
      </c>
      <c r="J12" t="b">
        <v>1</v>
      </c>
    </row>
    <row r="13" spans="1:10" x14ac:dyDescent="0.3">
      <c r="A13" t="s">
        <v>197</v>
      </c>
      <c r="B13" t="s">
        <v>198</v>
      </c>
      <c r="C13" t="s">
        <v>72</v>
      </c>
      <c r="D13" t="s">
        <v>129</v>
      </c>
      <c r="E13" t="s">
        <v>56</v>
      </c>
      <c r="F13">
        <v>357</v>
      </c>
      <c r="G13">
        <v>321300000</v>
      </c>
      <c r="H13">
        <v>146</v>
      </c>
      <c r="I13">
        <v>14.671232876712329</v>
      </c>
      <c r="J13" t="b">
        <v>1</v>
      </c>
    </row>
    <row r="14" spans="1:10" x14ac:dyDescent="0.3">
      <c r="A14" t="s">
        <v>147</v>
      </c>
      <c r="B14" t="s">
        <v>149</v>
      </c>
      <c r="C14" t="s">
        <v>139</v>
      </c>
      <c r="D14" t="s">
        <v>129</v>
      </c>
      <c r="E14" t="s">
        <v>56</v>
      </c>
      <c r="F14">
        <v>269</v>
      </c>
      <c r="G14">
        <v>129120000</v>
      </c>
      <c r="H14">
        <v>189</v>
      </c>
      <c r="I14">
        <v>8.5396825396825395</v>
      </c>
      <c r="J14" t="b">
        <v>0</v>
      </c>
    </row>
    <row r="15" spans="1:10" x14ac:dyDescent="0.3">
      <c r="A15" t="s">
        <v>315</v>
      </c>
      <c r="B15" t="s">
        <v>316</v>
      </c>
      <c r="C15" t="s">
        <v>102</v>
      </c>
      <c r="D15" t="s">
        <v>60</v>
      </c>
      <c r="E15" t="s">
        <v>56</v>
      </c>
      <c r="F15">
        <v>143</v>
      </c>
      <c r="G15">
        <v>257400000</v>
      </c>
      <c r="H15">
        <v>19</v>
      </c>
      <c r="I15">
        <v>45.15789473684211</v>
      </c>
      <c r="J15" t="b">
        <v>1</v>
      </c>
    </row>
    <row r="16" spans="1:10" x14ac:dyDescent="0.3">
      <c r="A16" t="s">
        <v>203</v>
      </c>
      <c r="B16" t="s">
        <v>204</v>
      </c>
      <c r="C16" t="s">
        <v>110</v>
      </c>
      <c r="D16" t="s">
        <v>73</v>
      </c>
      <c r="E16" t="s">
        <v>56</v>
      </c>
      <c r="F16">
        <v>134</v>
      </c>
      <c r="G16">
        <v>241200000</v>
      </c>
      <c r="H16">
        <v>185</v>
      </c>
      <c r="I16">
        <v>4.345945945945946</v>
      </c>
      <c r="J16" t="b">
        <v>0</v>
      </c>
    </row>
    <row r="17" spans="1:10" x14ac:dyDescent="0.3">
      <c r="A17" t="s">
        <v>152</v>
      </c>
      <c r="B17" t="s">
        <v>154</v>
      </c>
      <c r="C17" t="s">
        <v>59</v>
      </c>
      <c r="D17" t="s">
        <v>73</v>
      </c>
      <c r="E17" t="s">
        <v>56</v>
      </c>
      <c r="F17">
        <v>87</v>
      </c>
      <c r="G17">
        <v>56550000</v>
      </c>
      <c r="H17">
        <v>198</v>
      </c>
      <c r="I17">
        <v>2.6363636363636358</v>
      </c>
      <c r="J17" t="b">
        <v>0</v>
      </c>
    </row>
    <row r="18" spans="1:10" x14ac:dyDescent="0.3">
      <c r="A18" t="s">
        <v>121</v>
      </c>
      <c r="B18" t="s">
        <v>124</v>
      </c>
      <c r="C18" t="s">
        <v>87</v>
      </c>
      <c r="D18" t="s">
        <v>60</v>
      </c>
      <c r="E18" t="s">
        <v>56</v>
      </c>
      <c r="F18">
        <v>216</v>
      </c>
      <c r="G18">
        <v>38880000</v>
      </c>
      <c r="H18">
        <v>85</v>
      </c>
      <c r="I18">
        <v>15.247058823529411</v>
      </c>
      <c r="J18" t="b">
        <v>0</v>
      </c>
    </row>
    <row r="19" spans="1:10" x14ac:dyDescent="0.3">
      <c r="A19" t="s">
        <v>113</v>
      </c>
      <c r="B19" t="s">
        <v>116</v>
      </c>
      <c r="C19" t="s">
        <v>72</v>
      </c>
      <c r="D19" t="s">
        <v>60</v>
      </c>
      <c r="E19" t="s">
        <v>56</v>
      </c>
      <c r="F19">
        <v>91</v>
      </c>
      <c r="G19">
        <v>43680000</v>
      </c>
      <c r="H19">
        <v>156</v>
      </c>
      <c r="I19">
        <v>3.5</v>
      </c>
      <c r="J19" t="b">
        <v>0</v>
      </c>
    </row>
    <row r="20" spans="1:10" x14ac:dyDescent="0.3">
      <c r="A20" t="s">
        <v>246</v>
      </c>
      <c r="B20" t="s">
        <v>248</v>
      </c>
      <c r="C20" t="s">
        <v>139</v>
      </c>
      <c r="D20" t="s">
        <v>73</v>
      </c>
      <c r="E20" t="s">
        <v>56</v>
      </c>
      <c r="F20">
        <v>221</v>
      </c>
      <c r="G20">
        <v>198900000</v>
      </c>
      <c r="H20">
        <v>99</v>
      </c>
      <c r="I20">
        <v>13.393939393939389</v>
      </c>
      <c r="J20" t="b">
        <v>1</v>
      </c>
    </row>
    <row r="21" spans="1:10" x14ac:dyDescent="0.3">
      <c r="A21" t="s">
        <v>378</v>
      </c>
      <c r="B21" t="s">
        <v>380</v>
      </c>
      <c r="C21" t="s">
        <v>102</v>
      </c>
      <c r="D21" t="s">
        <v>129</v>
      </c>
      <c r="E21" t="s">
        <v>56</v>
      </c>
      <c r="F21">
        <v>146</v>
      </c>
      <c r="G21">
        <v>94900000</v>
      </c>
      <c r="H21">
        <v>162</v>
      </c>
      <c r="I21">
        <v>5.4074074074074074</v>
      </c>
      <c r="J21" t="b">
        <v>0</v>
      </c>
    </row>
    <row r="22" spans="1:10" x14ac:dyDescent="0.3">
      <c r="A22" t="s">
        <v>132</v>
      </c>
      <c r="B22" t="s">
        <v>133</v>
      </c>
      <c r="C22" t="s">
        <v>110</v>
      </c>
      <c r="D22" t="s">
        <v>73</v>
      </c>
      <c r="E22" t="s">
        <v>134</v>
      </c>
      <c r="F22">
        <v>716</v>
      </c>
      <c r="G22">
        <v>250600000</v>
      </c>
      <c r="H22">
        <v>143</v>
      </c>
      <c r="I22">
        <v>30.04195804195804</v>
      </c>
      <c r="J22" t="b">
        <v>1</v>
      </c>
    </row>
    <row r="23" spans="1:10" x14ac:dyDescent="0.3">
      <c r="A23" t="s">
        <v>255</v>
      </c>
      <c r="B23" t="s">
        <v>257</v>
      </c>
      <c r="C23" t="s">
        <v>59</v>
      </c>
      <c r="D23" t="s">
        <v>60</v>
      </c>
      <c r="E23" t="s">
        <v>56</v>
      </c>
      <c r="F23">
        <v>277</v>
      </c>
      <c r="G23">
        <v>49860000</v>
      </c>
      <c r="H23">
        <v>167</v>
      </c>
      <c r="I23">
        <v>9.952095808383234</v>
      </c>
      <c r="J23" t="b">
        <v>0</v>
      </c>
    </row>
    <row r="24" spans="1:10" x14ac:dyDescent="0.3">
      <c r="A24" t="s">
        <v>91</v>
      </c>
      <c r="B24" t="s">
        <v>93</v>
      </c>
      <c r="C24" t="s">
        <v>87</v>
      </c>
      <c r="D24" t="s">
        <v>60</v>
      </c>
      <c r="E24" t="s">
        <v>56</v>
      </c>
      <c r="F24">
        <v>263</v>
      </c>
      <c r="G24">
        <v>473400000</v>
      </c>
      <c r="H24">
        <v>123</v>
      </c>
      <c r="I24">
        <v>12.829268292682929</v>
      </c>
      <c r="J24" t="b">
        <v>1</v>
      </c>
    </row>
    <row r="25" spans="1:10" x14ac:dyDescent="0.3">
      <c r="A25" t="s">
        <v>242</v>
      </c>
      <c r="B25" t="s">
        <v>243</v>
      </c>
      <c r="C25" t="s">
        <v>72</v>
      </c>
      <c r="D25" t="s">
        <v>73</v>
      </c>
      <c r="E25" t="s">
        <v>56</v>
      </c>
      <c r="F25">
        <v>83</v>
      </c>
      <c r="G25">
        <v>99600000</v>
      </c>
      <c r="H25">
        <v>91</v>
      </c>
      <c r="I25">
        <v>5.4725274725274726</v>
      </c>
      <c r="J25" t="b">
        <v>0</v>
      </c>
    </row>
    <row r="26" spans="1:10" x14ac:dyDescent="0.3">
      <c r="A26" t="s">
        <v>136</v>
      </c>
      <c r="B26" t="s">
        <v>137</v>
      </c>
      <c r="C26" t="s">
        <v>139</v>
      </c>
      <c r="D26" t="s">
        <v>129</v>
      </c>
      <c r="E26" t="s">
        <v>56</v>
      </c>
      <c r="F26">
        <v>327</v>
      </c>
      <c r="G26">
        <v>588600000</v>
      </c>
      <c r="H26">
        <v>171</v>
      </c>
      <c r="I26">
        <v>11.47368421052632</v>
      </c>
      <c r="J26" t="b">
        <v>0</v>
      </c>
    </row>
    <row r="27" spans="1:10" x14ac:dyDescent="0.3">
      <c r="A27" t="s">
        <v>259</v>
      </c>
      <c r="B27" t="s">
        <v>260</v>
      </c>
      <c r="C27" t="s">
        <v>102</v>
      </c>
      <c r="D27" t="s">
        <v>129</v>
      </c>
      <c r="E27" t="s">
        <v>56</v>
      </c>
      <c r="F27">
        <v>121</v>
      </c>
      <c r="G27">
        <v>14520000</v>
      </c>
      <c r="H27">
        <v>316</v>
      </c>
      <c r="I27">
        <v>2.29746835443038</v>
      </c>
      <c r="J27" t="b">
        <v>0</v>
      </c>
    </row>
    <row r="28" spans="1:10" x14ac:dyDescent="0.3">
      <c r="A28" t="s">
        <v>167</v>
      </c>
      <c r="B28" t="s">
        <v>169</v>
      </c>
      <c r="C28" t="s">
        <v>110</v>
      </c>
      <c r="D28" t="s">
        <v>60</v>
      </c>
      <c r="E28" t="s">
        <v>56</v>
      </c>
      <c r="F28">
        <v>274</v>
      </c>
      <c r="G28">
        <v>246600000</v>
      </c>
      <c r="H28">
        <v>88</v>
      </c>
      <c r="I28">
        <v>18.68181818181818</v>
      </c>
      <c r="J28" t="b">
        <v>1</v>
      </c>
    </row>
    <row r="29" spans="1:10" x14ac:dyDescent="0.3">
      <c r="A29" t="s">
        <v>126</v>
      </c>
      <c r="B29" t="s">
        <v>128</v>
      </c>
      <c r="C29" t="s">
        <v>59</v>
      </c>
      <c r="D29" t="s">
        <v>129</v>
      </c>
      <c r="E29" t="s">
        <v>56</v>
      </c>
      <c r="F29">
        <v>194</v>
      </c>
      <c r="G29">
        <v>126100000</v>
      </c>
      <c r="H29">
        <v>70</v>
      </c>
      <c r="I29">
        <v>16.62857142857143</v>
      </c>
      <c r="J29" t="b">
        <v>0</v>
      </c>
    </row>
    <row r="30" spans="1:10" x14ac:dyDescent="0.3">
      <c r="A30" t="s">
        <v>160</v>
      </c>
      <c r="B30" t="s">
        <v>161</v>
      </c>
      <c r="C30" t="s">
        <v>87</v>
      </c>
      <c r="D30" t="s">
        <v>60</v>
      </c>
      <c r="E30" t="s">
        <v>56</v>
      </c>
      <c r="F30">
        <v>271</v>
      </c>
      <c r="G30">
        <v>243900000</v>
      </c>
      <c r="H30">
        <v>264</v>
      </c>
      <c r="I30">
        <v>6.1590909090909092</v>
      </c>
      <c r="J30" t="b">
        <v>0</v>
      </c>
    </row>
    <row r="31" spans="1:10" x14ac:dyDescent="0.3">
      <c r="A31" t="s">
        <v>206</v>
      </c>
      <c r="B31" t="s">
        <v>207</v>
      </c>
      <c r="C31" t="s">
        <v>72</v>
      </c>
      <c r="D31" t="s">
        <v>73</v>
      </c>
      <c r="E31" t="s">
        <v>56</v>
      </c>
      <c r="F31">
        <v>102</v>
      </c>
      <c r="G31">
        <v>48960000</v>
      </c>
      <c r="H31">
        <v>158</v>
      </c>
      <c r="I31">
        <v>3.873417721518988</v>
      </c>
      <c r="J31" t="b">
        <v>0</v>
      </c>
    </row>
    <row r="32" spans="1:10" x14ac:dyDescent="0.3">
      <c r="A32" t="s">
        <v>273</v>
      </c>
      <c r="B32" t="s">
        <v>274</v>
      </c>
      <c r="C32" t="s">
        <v>139</v>
      </c>
      <c r="D32" t="s">
        <v>73</v>
      </c>
      <c r="E32" t="s">
        <v>56</v>
      </c>
      <c r="F32">
        <v>125</v>
      </c>
      <c r="G32">
        <v>225000000</v>
      </c>
      <c r="H32">
        <v>139</v>
      </c>
      <c r="I32">
        <v>5.3956834532374094</v>
      </c>
      <c r="J32" t="b">
        <v>0</v>
      </c>
    </row>
    <row r="33" spans="1:10" x14ac:dyDescent="0.3">
      <c r="A33" t="s">
        <v>175</v>
      </c>
      <c r="B33" t="s">
        <v>177</v>
      </c>
      <c r="C33" t="s">
        <v>102</v>
      </c>
      <c r="D33" t="s">
        <v>129</v>
      </c>
      <c r="E33" t="s">
        <v>56</v>
      </c>
      <c r="F33">
        <v>250</v>
      </c>
      <c r="G33">
        <v>225000000</v>
      </c>
      <c r="H33">
        <v>139</v>
      </c>
      <c r="I33">
        <v>10.791366906474821</v>
      </c>
      <c r="J33" t="b">
        <v>0</v>
      </c>
    </row>
    <row r="34" spans="1:10" x14ac:dyDescent="0.3">
      <c r="A34" t="s">
        <v>142</v>
      </c>
      <c r="B34" t="s">
        <v>144</v>
      </c>
      <c r="C34" t="s">
        <v>110</v>
      </c>
      <c r="D34" t="s">
        <v>129</v>
      </c>
      <c r="E34" t="s">
        <v>56</v>
      </c>
      <c r="F34">
        <v>208</v>
      </c>
      <c r="G34">
        <v>72800000</v>
      </c>
      <c r="H34">
        <v>19</v>
      </c>
      <c r="I34">
        <v>65.684210526315795</v>
      </c>
      <c r="J34" t="b">
        <v>0</v>
      </c>
    </row>
    <row r="35" spans="1:10" x14ac:dyDescent="0.3">
      <c r="A35" t="s">
        <v>210</v>
      </c>
      <c r="B35" t="s">
        <v>212</v>
      </c>
      <c r="C35" t="s">
        <v>59</v>
      </c>
      <c r="D35" t="s">
        <v>60</v>
      </c>
      <c r="E35" t="s">
        <v>56</v>
      </c>
      <c r="F35">
        <v>287</v>
      </c>
      <c r="G35">
        <v>51660000</v>
      </c>
      <c r="H35">
        <v>180</v>
      </c>
      <c r="I35">
        <v>9.5666666666666664</v>
      </c>
      <c r="J35" t="b">
        <v>0</v>
      </c>
    </row>
    <row r="36" spans="1:10" x14ac:dyDescent="0.3">
      <c r="A36" t="s">
        <v>189</v>
      </c>
      <c r="B36" t="s">
        <v>191</v>
      </c>
      <c r="C36" t="s">
        <v>87</v>
      </c>
      <c r="D36" t="s">
        <v>73</v>
      </c>
      <c r="E36" t="s">
        <v>134</v>
      </c>
      <c r="F36">
        <v>615</v>
      </c>
      <c r="G36">
        <v>153750000</v>
      </c>
      <c r="H36">
        <v>161</v>
      </c>
      <c r="I36">
        <v>22.919254658385089</v>
      </c>
      <c r="J36" t="b">
        <v>1</v>
      </c>
    </row>
    <row r="37" spans="1:10" x14ac:dyDescent="0.3">
      <c r="A37" t="s">
        <v>156</v>
      </c>
      <c r="B37" t="s">
        <v>157</v>
      </c>
      <c r="C37" t="s">
        <v>72</v>
      </c>
      <c r="D37" t="s">
        <v>73</v>
      </c>
      <c r="E37" t="s">
        <v>56</v>
      </c>
      <c r="F37">
        <v>275</v>
      </c>
      <c r="G37">
        <v>49500000</v>
      </c>
      <c r="H37">
        <v>54</v>
      </c>
      <c r="I37">
        <v>30.555555555555561</v>
      </c>
      <c r="J37" t="b">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45"/>
  <sheetViews>
    <sheetView workbookViewId="0"/>
  </sheetViews>
  <sheetFormatPr defaultRowHeight="14.4" x14ac:dyDescent="0.3"/>
  <sheetData>
    <row r="1" spans="1:20" x14ac:dyDescent="0.3">
      <c r="A1" t="s">
        <v>4</v>
      </c>
      <c r="B1" t="s">
        <v>20</v>
      </c>
      <c r="C1" t="s">
        <v>22</v>
      </c>
      <c r="D1" t="s">
        <v>26</v>
      </c>
      <c r="E1" t="s">
        <v>25</v>
      </c>
      <c r="F1" t="s">
        <v>5</v>
      </c>
      <c r="G1" t="s">
        <v>27</v>
      </c>
      <c r="H1" t="s">
        <v>28</v>
      </c>
      <c r="I1" t="s">
        <v>609</v>
      </c>
      <c r="J1" t="s">
        <v>610</v>
      </c>
      <c r="K1" t="s">
        <v>614</v>
      </c>
      <c r="L1" t="s">
        <v>615</v>
      </c>
      <c r="M1" t="s">
        <v>616</v>
      </c>
      <c r="N1" t="s">
        <v>617</v>
      </c>
      <c r="O1" t="s">
        <v>613</v>
      </c>
      <c r="P1" t="s">
        <v>618</v>
      </c>
      <c r="Q1" t="s">
        <v>619</v>
      </c>
      <c r="R1" t="s">
        <v>620</v>
      </c>
      <c r="S1" t="s">
        <v>621</v>
      </c>
      <c r="T1" t="s">
        <v>622</v>
      </c>
    </row>
    <row r="2" spans="1:20" x14ac:dyDescent="0.3">
      <c r="A2" t="s">
        <v>282</v>
      </c>
      <c r="B2" t="s">
        <v>283</v>
      </c>
      <c r="C2" t="s">
        <v>139</v>
      </c>
      <c r="D2" t="s">
        <v>129</v>
      </c>
      <c r="E2" t="s">
        <v>56</v>
      </c>
      <c r="F2" t="s">
        <v>114</v>
      </c>
      <c r="G2" t="s">
        <v>117</v>
      </c>
      <c r="H2" t="s">
        <v>83</v>
      </c>
      <c r="I2">
        <v>52</v>
      </c>
      <c r="J2">
        <v>9360000</v>
      </c>
      <c r="K2">
        <v>30</v>
      </c>
      <c r="L2" s="1">
        <v>45993</v>
      </c>
      <c r="M2" t="b">
        <v>0</v>
      </c>
      <c r="N2" t="b">
        <v>0</v>
      </c>
      <c r="O2" t="b">
        <v>0</v>
      </c>
      <c r="P2">
        <v>0</v>
      </c>
      <c r="Q2" t="b">
        <v>0</v>
      </c>
      <c r="R2">
        <v>0</v>
      </c>
      <c r="S2">
        <v>0</v>
      </c>
      <c r="T2">
        <v>0</v>
      </c>
    </row>
    <row r="3" spans="1:20" x14ac:dyDescent="0.3">
      <c r="A3" t="s">
        <v>282</v>
      </c>
      <c r="B3" t="s">
        <v>283</v>
      </c>
      <c r="C3" t="s">
        <v>139</v>
      </c>
      <c r="D3" t="s">
        <v>129</v>
      </c>
      <c r="E3" t="s">
        <v>56</v>
      </c>
      <c r="F3" t="s">
        <v>80</v>
      </c>
      <c r="G3" t="s">
        <v>88</v>
      </c>
      <c r="H3" t="s">
        <v>83</v>
      </c>
      <c r="I3">
        <v>34</v>
      </c>
      <c r="J3">
        <v>6120000</v>
      </c>
      <c r="K3">
        <v>50</v>
      </c>
      <c r="L3" s="1">
        <v>46192</v>
      </c>
      <c r="M3" t="b">
        <v>1</v>
      </c>
      <c r="N3" t="b">
        <v>0</v>
      </c>
      <c r="O3" t="b">
        <v>0</v>
      </c>
      <c r="P3">
        <v>0</v>
      </c>
      <c r="Q3" t="b">
        <v>0</v>
      </c>
      <c r="R3">
        <v>0</v>
      </c>
      <c r="S3">
        <v>1</v>
      </c>
      <c r="T3">
        <v>0</v>
      </c>
    </row>
    <row r="4" spans="1:20" x14ac:dyDescent="0.3">
      <c r="A4" t="s">
        <v>282</v>
      </c>
      <c r="B4" t="s">
        <v>283</v>
      </c>
      <c r="C4" t="s">
        <v>139</v>
      </c>
      <c r="D4" t="s">
        <v>129</v>
      </c>
      <c r="E4" t="s">
        <v>56</v>
      </c>
      <c r="F4" t="s">
        <v>50</v>
      </c>
      <c r="G4" t="s">
        <v>61</v>
      </c>
      <c r="H4" t="s">
        <v>54</v>
      </c>
      <c r="I4">
        <v>29</v>
      </c>
      <c r="J4">
        <v>5220000</v>
      </c>
      <c r="K4">
        <v>30</v>
      </c>
      <c r="L4" s="1">
        <v>46033</v>
      </c>
      <c r="M4" t="b">
        <v>1</v>
      </c>
      <c r="N4" t="b">
        <v>0</v>
      </c>
      <c r="O4" t="b">
        <v>0</v>
      </c>
      <c r="P4">
        <v>0</v>
      </c>
      <c r="Q4" t="b">
        <v>0</v>
      </c>
      <c r="R4">
        <v>0</v>
      </c>
      <c r="S4">
        <v>1</v>
      </c>
      <c r="T4">
        <v>0</v>
      </c>
    </row>
    <row r="5" spans="1:20" x14ac:dyDescent="0.3">
      <c r="A5" t="s">
        <v>282</v>
      </c>
      <c r="B5" t="s">
        <v>283</v>
      </c>
      <c r="C5" t="s">
        <v>139</v>
      </c>
      <c r="D5" t="s">
        <v>129</v>
      </c>
      <c r="E5" t="s">
        <v>56</v>
      </c>
      <c r="F5" t="s">
        <v>66</v>
      </c>
      <c r="G5" t="s">
        <v>74</v>
      </c>
      <c r="H5" t="s">
        <v>75</v>
      </c>
      <c r="I5">
        <v>115</v>
      </c>
      <c r="J5">
        <v>20700000</v>
      </c>
      <c r="K5">
        <v>10</v>
      </c>
      <c r="L5" s="1">
        <v>46123</v>
      </c>
      <c r="M5" t="b">
        <v>0</v>
      </c>
      <c r="N5" t="b">
        <v>0</v>
      </c>
      <c r="O5" t="b">
        <v>0</v>
      </c>
      <c r="P5">
        <v>0</v>
      </c>
      <c r="Q5" t="b">
        <v>0</v>
      </c>
      <c r="R5">
        <v>0</v>
      </c>
      <c r="S5">
        <v>0</v>
      </c>
      <c r="T5">
        <v>0</v>
      </c>
    </row>
    <row r="6" spans="1:20" x14ac:dyDescent="0.3">
      <c r="A6" t="s">
        <v>97</v>
      </c>
      <c r="B6" t="s">
        <v>100</v>
      </c>
      <c r="C6" t="s">
        <v>102</v>
      </c>
      <c r="D6" t="s">
        <v>73</v>
      </c>
      <c r="E6" t="s">
        <v>56</v>
      </c>
      <c r="F6" t="s">
        <v>114</v>
      </c>
      <c r="G6" t="s">
        <v>117</v>
      </c>
      <c r="H6" t="s">
        <v>83</v>
      </c>
      <c r="I6">
        <v>65</v>
      </c>
      <c r="J6">
        <v>22750000</v>
      </c>
      <c r="K6">
        <v>10</v>
      </c>
      <c r="L6" s="1">
        <v>45997</v>
      </c>
      <c r="M6" t="b">
        <v>0</v>
      </c>
      <c r="N6" t="b">
        <v>0</v>
      </c>
      <c r="O6" t="b">
        <v>0</v>
      </c>
      <c r="P6">
        <v>0</v>
      </c>
      <c r="Q6" t="b">
        <v>0</v>
      </c>
      <c r="R6">
        <v>0</v>
      </c>
      <c r="S6">
        <v>0</v>
      </c>
      <c r="T6">
        <v>0</v>
      </c>
    </row>
    <row r="7" spans="1:20" x14ac:dyDescent="0.3">
      <c r="A7" t="s">
        <v>97</v>
      </c>
      <c r="B7" t="s">
        <v>100</v>
      </c>
      <c r="C7" t="s">
        <v>102</v>
      </c>
      <c r="D7" t="s">
        <v>73</v>
      </c>
      <c r="E7" t="s">
        <v>56</v>
      </c>
      <c r="F7" t="s">
        <v>80</v>
      </c>
      <c r="G7" t="s">
        <v>88</v>
      </c>
      <c r="H7" t="s">
        <v>83</v>
      </c>
      <c r="I7">
        <v>29</v>
      </c>
      <c r="J7">
        <v>10150000</v>
      </c>
      <c r="K7">
        <v>10</v>
      </c>
      <c r="L7" s="1">
        <v>46168</v>
      </c>
      <c r="M7" t="b">
        <v>0</v>
      </c>
      <c r="N7" t="b">
        <v>0</v>
      </c>
      <c r="O7" t="b">
        <v>0</v>
      </c>
      <c r="P7">
        <v>0</v>
      </c>
      <c r="Q7" t="b">
        <v>0</v>
      </c>
      <c r="R7">
        <v>0</v>
      </c>
      <c r="S7">
        <v>0</v>
      </c>
      <c r="T7">
        <v>0</v>
      </c>
    </row>
    <row r="8" spans="1:20" x14ac:dyDescent="0.3">
      <c r="A8" t="s">
        <v>97</v>
      </c>
      <c r="B8" t="s">
        <v>100</v>
      </c>
      <c r="C8" t="s">
        <v>102</v>
      </c>
      <c r="D8" t="s">
        <v>73</v>
      </c>
      <c r="E8" t="s">
        <v>56</v>
      </c>
      <c r="F8" t="s">
        <v>50</v>
      </c>
      <c r="G8" t="s">
        <v>61</v>
      </c>
      <c r="H8" t="s">
        <v>54</v>
      </c>
      <c r="I8">
        <v>4</v>
      </c>
      <c r="J8">
        <v>1400000</v>
      </c>
      <c r="K8">
        <v>20</v>
      </c>
      <c r="L8" s="1">
        <v>46113</v>
      </c>
      <c r="M8" t="b">
        <v>1</v>
      </c>
      <c r="N8" t="b">
        <v>0</v>
      </c>
      <c r="O8" t="b">
        <v>0</v>
      </c>
      <c r="P8">
        <v>0</v>
      </c>
      <c r="Q8" t="b">
        <v>0</v>
      </c>
      <c r="R8">
        <v>0</v>
      </c>
      <c r="S8">
        <v>1</v>
      </c>
      <c r="T8">
        <v>0</v>
      </c>
    </row>
    <row r="9" spans="1:20" x14ac:dyDescent="0.3">
      <c r="A9" t="s">
        <v>97</v>
      </c>
      <c r="B9" t="s">
        <v>100</v>
      </c>
      <c r="C9" t="s">
        <v>102</v>
      </c>
      <c r="D9" t="s">
        <v>73</v>
      </c>
      <c r="E9" t="s">
        <v>56</v>
      </c>
      <c r="F9" t="s">
        <v>66</v>
      </c>
      <c r="G9" t="s">
        <v>74</v>
      </c>
      <c r="H9" t="s">
        <v>75</v>
      </c>
      <c r="I9">
        <v>42</v>
      </c>
      <c r="J9">
        <v>14700000</v>
      </c>
      <c r="K9">
        <v>30</v>
      </c>
      <c r="L9" s="1">
        <v>46121</v>
      </c>
      <c r="M9" t="b">
        <v>0</v>
      </c>
      <c r="N9" t="b">
        <v>0</v>
      </c>
      <c r="O9" t="b">
        <v>0</v>
      </c>
      <c r="P9">
        <v>0</v>
      </c>
      <c r="Q9" t="b">
        <v>0</v>
      </c>
      <c r="R9">
        <v>0</v>
      </c>
      <c r="S9">
        <v>0</v>
      </c>
      <c r="T9">
        <v>0</v>
      </c>
    </row>
    <row r="10" spans="1:20" x14ac:dyDescent="0.3">
      <c r="A10" t="s">
        <v>105</v>
      </c>
      <c r="B10" t="s">
        <v>108</v>
      </c>
      <c r="C10" t="s">
        <v>110</v>
      </c>
      <c r="D10" t="s">
        <v>73</v>
      </c>
      <c r="E10" t="s">
        <v>56</v>
      </c>
      <c r="F10" t="s">
        <v>114</v>
      </c>
      <c r="G10" t="s">
        <v>117</v>
      </c>
      <c r="H10" t="s">
        <v>83</v>
      </c>
      <c r="I10">
        <v>98</v>
      </c>
      <c r="J10">
        <v>17640000</v>
      </c>
      <c r="K10">
        <v>30</v>
      </c>
      <c r="L10" s="1">
        <v>46150</v>
      </c>
      <c r="M10" t="b">
        <v>0</v>
      </c>
      <c r="N10" t="b">
        <v>0</v>
      </c>
      <c r="O10" t="b">
        <v>0</v>
      </c>
      <c r="P10">
        <v>0</v>
      </c>
      <c r="Q10" t="b">
        <v>0</v>
      </c>
      <c r="R10">
        <v>0</v>
      </c>
      <c r="S10">
        <v>0</v>
      </c>
      <c r="T10">
        <v>0</v>
      </c>
    </row>
    <row r="11" spans="1:20" x14ac:dyDescent="0.3">
      <c r="A11" t="s">
        <v>105</v>
      </c>
      <c r="B11" t="s">
        <v>108</v>
      </c>
      <c r="C11" t="s">
        <v>110</v>
      </c>
      <c r="D11" t="s">
        <v>73</v>
      </c>
      <c r="E11" t="s">
        <v>56</v>
      </c>
      <c r="F11" t="s">
        <v>80</v>
      </c>
      <c r="G11" t="s">
        <v>88</v>
      </c>
      <c r="H11" t="s">
        <v>83</v>
      </c>
      <c r="I11">
        <v>17</v>
      </c>
      <c r="J11">
        <v>3060000</v>
      </c>
      <c r="K11">
        <v>30</v>
      </c>
      <c r="L11" s="1">
        <v>46196</v>
      </c>
      <c r="M11" t="b">
        <v>1</v>
      </c>
      <c r="N11" t="b">
        <v>0</v>
      </c>
      <c r="O11" t="b">
        <v>0</v>
      </c>
      <c r="P11">
        <v>0</v>
      </c>
      <c r="Q11" t="b">
        <v>0</v>
      </c>
      <c r="R11">
        <v>0</v>
      </c>
      <c r="S11">
        <v>1</v>
      </c>
      <c r="T11">
        <v>0</v>
      </c>
    </row>
    <row r="12" spans="1:20" x14ac:dyDescent="0.3">
      <c r="A12" t="s">
        <v>105</v>
      </c>
      <c r="B12" t="s">
        <v>108</v>
      </c>
      <c r="C12" t="s">
        <v>110</v>
      </c>
      <c r="D12" t="s">
        <v>73</v>
      </c>
      <c r="E12" t="s">
        <v>56</v>
      </c>
      <c r="F12" t="s">
        <v>50</v>
      </c>
      <c r="G12" t="s">
        <v>61</v>
      </c>
      <c r="H12" t="s">
        <v>54</v>
      </c>
      <c r="I12">
        <v>36</v>
      </c>
      <c r="J12">
        <v>6480000</v>
      </c>
      <c r="K12">
        <v>30</v>
      </c>
      <c r="L12" s="1">
        <v>45998</v>
      </c>
      <c r="M12" t="b">
        <v>0</v>
      </c>
      <c r="N12" t="b">
        <v>0</v>
      </c>
      <c r="O12" t="b">
        <v>0</v>
      </c>
      <c r="P12">
        <v>0</v>
      </c>
      <c r="Q12" t="b">
        <v>0</v>
      </c>
      <c r="R12">
        <v>0</v>
      </c>
      <c r="S12">
        <v>0</v>
      </c>
      <c r="T12">
        <v>0</v>
      </c>
    </row>
    <row r="13" spans="1:20" x14ac:dyDescent="0.3">
      <c r="A13" t="s">
        <v>105</v>
      </c>
      <c r="B13" t="s">
        <v>108</v>
      </c>
      <c r="C13" t="s">
        <v>110</v>
      </c>
      <c r="D13" t="s">
        <v>73</v>
      </c>
      <c r="E13" t="s">
        <v>56</v>
      </c>
      <c r="F13" t="s">
        <v>66</v>
      </c>
      <c r="G13" t="s">
        <v>74</v>
      </c>
      <c r="H13" t="s">
        <v>75</v>
      </c>
      <c r="I13">
        <v>51</v>
      </c>
      <c r="J13">
        <v>9180000</v>
      </c>
      <c r="K13">
        <v>10</v>
      </c>
      <c r="L13" s="1">
        <v>46078</v>
      </c>
      <c r="M13" t="b">
        <v>0</v>
      </c>
      <c r="N13" t="b">
        <v>0</v>
      </c>
      <c r="O13" t="b">
        <v>0</v>
      </c>
      <c r="P13">
        <v>0</v>
      </c>
      <c r="Q13" t="b">
        <v>0</v>
      </c>
      <c r="R13">
        <v>0</v>
      </c>
      <c r="S13">
        <v>0</v>
      </c>
      <c r="T13">
        <v>0</v>
      </c>
    </row>
    <row r="14" spans="1:20" x14ac:dyDescent="0.3">
      <c r="A14" t="s">
        <v>220</v>
      </c>
      <c r="B14" t="s">
        <v>221</v>
      </c>
      <c r="C14" t="s">
        <v>59</v>
      </c>
      <c r="D14" t="s">
        <v>60</v>
      </c>
      <c r="E14" t="s">
        <v>56</v>
      </c>
      <c r="F14" t="s">
        <v>114</v>
      </c>
      <c r="G14" t="s">
        <v>117</v>
      </c>
      <c r="H14" t="s">
        <v>83</v>
      </c>
      <c r="I14">
        <v>97</v>
      </c>
      <c r="J14">
        <v>17460000</v>
      </c>
      <c r="K14">
        <v>20</v>
      </c>
      <c r="L14" s="1">
        <v>45977</v>
      </c>
      <c r="M14" t="b">
        <v>0</v>
      </c>
      <c r="N14" t="b">
        <v>0</v>
      </c>
      <c r="O14" t="b">
        <v>0</v>
      </c>
      <c r="P14">
        <v>0</v>
      </c>
      <c r="Q14" t="b">
        <v>0</v>
      </c>
      <c r="R14">
        <v>0</v>
      </c>
      <c r="S14">
        <v>0</v>
      </c>
      <c r="T14">
        <v>0</v>
      </c>
    </row>
    <row r="15" spans="1:20" x14ac:dyDescent="0.3">
      <c r="A15" t="s">
        <v>220</v>
      </c>
      <c r="B15" t="s">
        <v>221</v>
      </c>
      <c r="C15" t="s">
        <v>59</v>
      </c>
      <c r="D15" t="s">
        <v>60</v>
      </c>
      <c r="E15" t="s">
        <v>56</v>
      </c>
      <c r="F15" t="s">
        <v>80</v>
      </c>
      <c r="G15" t="s">
        <v>88</v>
      </c>
      <c r="H15" t="s">
        <v>83</v>
      </c>
      <c r="I15">
        <v>29</v>
      </c>
      <c r="J15">
        <v>5220000</v>
      </c>
      <c r="K15">
        <v>20</v>
      </c>
      <c r="L15" s="1">
        <v>46077</v>
      </c>
      <c r="M15" t="b">
        <v>0</v>
      </c>
      <c r="N15" t="b">
        <v>0</v>
      </c>
      <c r="O15" t="b">
        <v>0</v>
      </c>
      <c r="P15">
        <v>0</v>
      </c>
      <c r="Q15" t="b">
        <v>0</v>
      </c>
      <c r="R15">
        <v>0</v>
      </c>
      <c r="S15">
        <v>0</v>
      </c>
      <c r="T15">
        <v>0</v>
      </c>
    </row>
    <row r="16" spans="1:20" x14ac:dyDescent="0.3">
      <c r="A16" t="s">
        <v>220</v>
      </c>
      <c r="B16" t="s">
        <v>221</v>
      </c>
      <c r="C16" t="s">
        <v>59</v>
      </c>
      <c r="D16" t="s">
        <v>60</v>
      </c>
      <c r="E16" t="s">
        <v>56</v>
      </c>
      <c r="F16" t="s">
        <v>50</v>
      </c>
      <c r="G16" t="s">
        <v>61</v>
      </c>
      <c r="H16" t="s">
        <v>54</v>
      </c>
      <c r="I16">
        <v>75</v>
      </c>
      <c r="J16">
        <v>13500000</v>
      </c>
      <c r="K16">
        <v>50</v>
      </c>
      <c r="L16" s="1">
        <v>46014</v>
      </c>
      <c r="M16" t="b">
        <v>0</v>
      </c>
      <c r="N16" t="b">
        <v>0</v>
      </c>
      <c r="O16" t="b">
        <v>0</v>
      </c>
      <c r="P16">
        <v>0</v>
      </c>
      <c r="Q16" t="b">
        <v>0</v>
      </c>
      <c r="R16">
        <v>0</v>
      </c>
      <c r="S16">
        <v>0</v>
      </c>
      <c r="T16">
        <v>0</v>
      </c>
    </row>
    <row r="17" spans="1:20" x14ac:dyDescent="0.3">
      <c r="A17" t="s">
        <v>220</v>
      </c>
      <c r="B17" t="s">
        <v>221</v>
      </c>
      <c r="C17" t="s">
        <v>59</v>
      </c>
      <c r="D17" t="s">
        <v>60</v>
      </c>
      <c r="E17" t="s">
        <v>56</v>
      </c>
      <c r="F17" t="s">
        <v>66</v>
      </c>
      <c r="G17" t="s">
        <v>74</v>
      </c>
      <c r="H17" t="s">
        <v>75</v>
      </c>
      <c r="I17">
        <v>43</v>
      </c>
      <c r="J17">
        <v>7740000</v>
      </c>
      <c r="K17">
        <v>10</v>
      </c>
      <c r="L17" s="1">
        <v>46118</v>
      </c>
      <c r="M17" t="b">
        <v>0</v>
      </c>
      <c r="N17" t="b">
        <v>0</v>
      </c>
      <c r="O17" t="b">
        <v>0</v>
      </c>
      <c r="P17">
        <v>0</v>
      </c>
      <c r="Q17" t="b">
        <v>0</v>
      </c>
      <c r="R17">
        <v>0</v>
      </c>
      <c r="S17">
        <v>0</v>
      </c>
      <c r="T17">
        <v>0</v>
      </c>
    </row>
    <row r="18" spans="1:20" x14ac:dyDescent="0.3">
      <c r="A18" t="s">
        <v>79</v>
      </c>
      <c r="B18" t="s">
        <v>85</v>
      </c>
      <c r="C18" t="s">
        <v>87</v>
      </c>
      <c r="D18" t="s">
        <v>60</v>
      </c>
      <c r="E18" t="s">
        <v>56</v>
      </c>
      <c r="F18" t="s">
        <v>114</v>
      </c>
      <c r="G18" t="s">
        <v>117</v>
      </c>
      <c r="H18" t="s">
        <v>83</v>
      </c>
      <c r="I18">
        <v>256</v>
      </c>
      <c r="J18">
        <v>30720000</v>
      </c>
      <c r="K18">
        <v>20</v>
      </c>
      <c r="L18" s="1">
        <v>46086</v>
      </c>
      <c r="M18" t="b">
        <v>0</v>
      </c>
      <c r="N18" t="b">
        <v>0</v>
      </c>
      <c r="O18" t="b">
        <v>0</v>
      </c>
      <c r="P18">
        <v>0</v>
      </c>
      <c r="Q18" t="b">
        <v>0</v>
      </c>
      <c r="R18">
        <v>0</v>
      </c>
      <c r="S18">
        <v>0</v>
      </c>
      <c r="T18">
        <v>0</v>
      </c>
    </row>
    <row r="19" spans="1:20" x14ac:dyDescent="0.3">
      <c r="A19" t="s">
        <v>79</v>
      </c>
      <c r="B19" t="s">
        <v>85</v>
      </c>
      <c r="C19" t="s">
        <v>87</v>
      </c>
      <c r="D19" t="s">
        <v>60</v>
      </c>
      <c r="E19" t="s">
        <v>56</v>
      </c>
      <c r="F19" t="s">
        <v>80</v>
      </c>
      <c r="G19" t="s">
        <v>88</v>
      </c>
      <c r="H19" t="s">
        <v>83</v>
      </c>
      <c r="I19">
        <v>157</v>
      </c>
      <c r="J19">
        <v>18840000</v>
      </c>
      <c r="K19">
        <v>30</v>
      </c>
      <c r="L19" s="1">
        <v>46163</v>
      </c>
      <c r="M19" t="b">
        <v>0</v>
      </c>
      <c r="N19" t="b">
        <v>0</v>
      </c>
      <c r="O19" t="b">
        <v>0</v>
      </c>
      <c r="P19">
        <v>0</v>
      </c>
      <c r="Q19" t="b">
        <v>0</v>
      </c>
      <c r="R19">
        <v>0</v>
      </c>
      <c r="S19">
        <v>0</v>
      </c>
      <c r="T19">
        <v>0</v>
      </c>
    </row>
    <row r="20" spans="1:20" x14ac:dyDescent="0.3">
      <c r="A20" t="s">
        <v>79</v>
      </c>
      <c r="B20" t="s">
        <v>85</v>
      </c>
      <c r="C20" t="s">
        <v>87</v>
      </c>
      <c r="D20" t="s">
        <v>60</v>
      </c>
      <c r="E20" t="s">
        <v>56</v>
      </c>
      <c r="F20" t="s">
        <v>50</v>
      </c>
      <c r="G20" t="s">
        <v>61</v>
      </c>
      <c r="H20" t="s">
        <v>54</v>
      </c>
      <c r="I20">
        <v>228</v>
      </c>
      <c r="J20">
        <v>27360000</v>
      </c>
      <c r="K20">
        <v>10</v>
      </c>
      <c r="L20" s="1">
        <v>46071</v>
      </c>
      <c r="M20" t="b">
        <v>0</v>
      </c>
      <c r="N20" t="b">
        <v>0</v>
      </c>
      <c r="O20" t="b">
        <v>0</v>
      </c>
      <c r="P20">
        <v>0</v>
      </c>
      <c r="Q20" t="b">
        <v>0</v>
      </c>
      <c r="R20">
        <v>0</v>
      </c>
      <c r="S20">
        <v>0</v>
      </c>
      <c r="T20">
        <v>0</v>
      </c>
    </row>
    <row r="21" spans="1:20" x14ac:dyDescent="0.3">
      <c r="A21" t="s">
        <v>79</v>
      </c>
      <c r="B21" t="s">
        <v>85</v>
      </c>
      <c r="C21" t="s">
        <v>87</v>
      </c>
      <c r="D21" t="s">
        <v>60</v>
      </c>
      <c r="E21" t="s">
        <v>56</v>
      </c>
      <c r="F21" t="s">
        <v>66</v>
      </c>
      <c r="G21" t="s">
        <v>74</v>
      </c>
      <c r="H21" t="s">
        <v>75</v>
      </c>
      <c r="I21">
        <v>240</v>
      </c>
      <c r="J21">
        <v>28800000</v>
      </c>
      <c r="K21">
        <v>30</v>
      </c>
      <c r="L21" s="1">
        <v>46141</v>
      </c>
      <c r="M21" t="b">
        <v>0</v>
      </c>
      <c r="N21" t="b">
        <v>0</v>
      </c>
      <c r="O21" t="b">
        <v>0</v>
      </c>
      <c r="P21">
        <v>0</v>
      </c>
      <c r="Q21" t="b">
        <v>0</v>
      </c>
      <c r="R21">
        <v>0</v>
      </c>
      <c r="S21">
        <v>0</v>
      </c>
      <c r="T21">
        <v>0</v>
      </c>
    </row>
    <row r="22" spans="1:20" x14ac:dyDescent="0.3">
      <c r="A22" t="s">
        <v>65</v>
      </c>
      <c r="B22" t="s">
        <v>70</v>
      </c>
      <c r="C22" t="s">
        <v>72</v>
      </c>
      <c r="D22" t="s">
        <v>73</v>
      </c>
      <c r="E22" t="s">
        <v>56</v>
      </c>
      <c r="F22" t="s">
        <v>114</v>
      </c>
      <c r="G22" t="s">
        <v>117</v>
      </c>
      <c r="H22" t="s">
        <v>83</v>
      </c>
      <c r="I22">
        <v>87</v>
      </c>
      <c r="J22">
        <v>156600000</v>
      </c>
      <c r="K22">
        <v>50</v>
      </c>
      <c r="L22" s="1">
        <v>46003</v>
      </c>
      <c r="M22" t="b">
        <v>0</v>
      </c>
      <c r="N22" t="b">
        <v>0</v>
      </c>
      <c r="O22" t="b">
        <v>0</v>
      </c>
      <c r="P22">
        <v>0</v>
      </c>
      <c r="Q22" t="b">
        <v>0</v>
      </c>
      <c r="R22">
        <v>0</v>
      </c>
      <c r="S22">
        <v>0</v>
      </c>
      <c r="T22">
        <v>0</v>
      </c>
    </row>
    <row r="23" spans="1:20" x14ac:dyDescent="0.3">
      <c r="A23" t="s">
        <v>65</v>
      </c>
      <c r="B23" t="s">
        <v>70</v>
      </c>
      <c r="C23" t="s">
        <v>72</v>
      </c>
      <c r="D23" t="s">
        <v>73</v>
      </c>
      <c r="E23" t="s">
        <v>56</v>
      </c>
      <c r="F23" t="s">
        <v>80</v>
      </c>
      <c r="G23" t="s">
        <v>88</v>
      </c>
      <c r="H23" t="s">
        <v>83</v>
      </c>
      <c r="I23">
        <v>68</v>
      </c>
      <c r="J23">
        <v>122400000</v>
      </c>
      <c r="K23">
        <v>30</v>
      </c>
      <c r="L23" s="1">
        <v>46115</v>
      </c>
      <c r="M23" t="b">
        <v>0</v>
      </c>
      <c r="N23" t="b">
        <v>0</v>
      </c>
      <c r="O23" t="b">
        <v>0</v>
      </c>
      <c r="P23">
        <v>0</v>
      </c>
      <c r="Q23" t="b">
        <v>0</v>
      </c>
      <c r="R23">
        <v>0</v>
      </c>
      <c r="S23">
        <v>0</v>
      </c>
      <c r="T23">
        <v>0</v>
      </c>
    </row>
    <row r="24" spans="1:20" x14ac:dyDescent="0.3">
      <c r="A24" t="s">
        <v>65</v>
      </c>
      <c r="B24" t="s">
        <v>70</v>
      </c>
      <c r="C24" t="s">
        <v>72</v>
      </c>
      <c r="D24" t="s">
        <v>73</v>
      </c>
      <c r="E24" t="s">
        <v>56</v>
      </c>
      <c r="F24" t="s">
        <v>50</v>
      </c>
      <c r="G24" t="s">
        <v>61</v>
      </c>
      <c r="H24" t="s">
        <v>54</v>
      </c>
      <c r="I24">
        <v>72</v>
      </c>
      <c r="J24">
        <v>129600000</v>
      </c>
      <c r="K24">
        <v>10</v>
      </c>
      <c r="L24" s="1">
        <v>46163</v>
      </c>
      <c r="M24" t="b">
        <v>0</v>
      </c>
      <c r="N24" t="b">
        <v>0</v>
      </c>
      <c r="O24" t="b">
        <v>0</v>
      </c>
      <c r="P24">
        <v>0</v>
      </c>
      <c r="Q24" t="b">
        <v>0</v>
      </c>
      <c r="R24">
        <v>0</v>
      </c>
      <c r="S24">
        <v>0</v>
      </c>
      <c r="T24">
        <v>0</v>
      </c>
    </row>
    <row r="25" spans="1:20" x14ac:dyDescent="0.3">
      <c r="A25" t="s">
        <v>65</v>
      </c>
      <c r="B25" t="s">
        <v>70</v>
      </c>
      <c r="C25" t="s">
        <v>72</v>
      </c>
      <c r="D25" t="s">
        <v>73</v>
      </c>
      <c r="E25" t="s">
        <v>56</v>
      </c>
      <c r="F25" t="s">
        <v>66</v>
      </c>
      <c r="G25" t="s">
        <v>74</v>
      </c>
      <c r="H25" t="s">
        <v>75</v>
      </c>
      <c r="I25">
        <v>42</v>
      </c>
      <c r="J25">
        <v>75600000</v>
      </c>
      <c r="K25">
        <v>50</v>
      </c>
      <c r="L25" s="1">
        <v>46101</v>
      </c>
      <c r="M25" t="b">
        <v>1</v>
      </c>
      <c r="N25" t="b">
        <v>0</v>
      </c>
      <c r="O25" t="b">
        <v>0</v>
      </c>
      <c r="P25">
        <v>0</v>
      </c>
      <c r="Q25" t="b">
        <v>0</v>
      </c>
      <c r="R25">
        <v>0</v>
      </c>
      <c r="S25">
        <v>1</v>
      </c>
      <c r="T25">
        <v>0</v>
      </c>
    </row>
    <row r="26" spans="1:20" x14ac:dyDescent="0.3">
      <c r="A26" t="s">
        <v>236</v>
      </c>
      <c r="B26" t="s">
        <v>237</v>
      </c>
      <c r="C26" t="s">
        <v>139</v>
      </c>
      <c r="D26" t="s">
        <v>73</v>
      </c>
      <c r="E26" t="s">
        <v>134</v>
      </c>
      <c r="F26" t="s">
        <v>114</v>
      </c>
      <c r="G26" t="s">
        <v>117</v>
      </c>
      <c r="H26" t="s">
        <v>83</v>
      </c>
      <c r="I26">
        <v>96</v>
      </c>
      <c r="J26">
        <v>33600000</v>
      </c>
      <c r="K26">
        <v>50</v>
      </c>
      <c r="L26" s="1">
        <v>46150</v>
      </c>
      <c r="M26" t="b">
        <v>0</v>
      </c>
      <c r="N26" t="b">
        <v>0</v>
      </c>
      <c r="O26" t="b">
        <v>1</v>
      </c>
      <c r="P26">
        <v>33600000</v>
      </c>
      <c r="Q26" t="b">
        <v>1</v>
      </c>
      <c r="R26">
        <v>33600000</v>
      </c>
      <c r="S26">
        <v>0</v>
      </c>
      <c r="T26">
        <v>0</v>
      </c>
    </row>
    <row r="27" spans="1:20" x14ac:dyDescent="0.3">
      <c r="A27" t="s">
        <v>236</v>
      </c>
      <c r="B27" t="s">
        <v>237</v>
      </c>
      <c r="C27" t="s">
        <v>139</v>
      </c>
      <c r="D27" t="s">
        <v>73</v>
      </c>
      <c r="E27" t="s">
        <v>134</v>
      </c>
      <c r="F27" t="s">
        <v>80</v>
      </c>
      <c r="G27" t="s">
        <v>88</v>
      </c>
      <c r="H27" t="s">
        <v>83</v>
      </c>
      <c r="I27">
        <v>195</v>
      </c>
      <c r="J27">
        <v>68250000</v>
      </c>
      <c r="K27">
        <v>30</v>
      </c>
      <c r="L27" s="1">
        <v>46175</v>
      </c>
      <c r="M27" t="b">
        <v>0</v>
      </c>
      <c r="N27" t="b">
        <v>0</v>
      </c>
      <c r="O27" t="b">
        <v>1</v>
      </c>
      <c r="P27">
        <v>68250000</v>
      </c>
      <c r="Q27" t="b">
        <v>1</v>
      </c>
      <c r="R27">
        <v>68250000</v>
      </c>
      <c r="S27">
        <v>0</v>
      </c>
      <c r="T27">
        <v>0</v>
      </c>
    </row>
    <row r="28" spans="1:20" x14ac:dyDescent="0.3">
      <c r="A28" t="s">
        <v>236</v>
      </c>
      <c r="B28" t="s">
        <v>237</v>
      </c>
      <c r="C28" t="s">
        <v>139</v>
      </c>
      <c r="D28" t="s">
        <v>73</v>
      </c>
      <c r="E28" t="s">
        <v>134</v>
      </c>
      <c r="F28" t="s">
        <v>50</v>
      </c>
      <c r="G28" t="s">
        <v>61</v>
      </c>
      <c r="H28" t="s">
        <v>54</v>
      </c>
      <c r="I28">
        <v>125</v>
      </c>
      <c r="J28">
        <v>43750000</v>
      </c>
      <c r="K28">
        <v>10</v>
      </c>
      <c r="L28" s="1">
        <v>45987</v>
      </c>
      <c r="M28" t="b">
        <v>0</v>
      </c>
      <c r="N28" t="b">
        <v>0</v>
      </c>
      <c r="O28" t="b">
        <v>1</v>
      </c>
      <c r="P28">
        <v>43750000</v>
      </c>
      <c r="Q28" t="b">
        <v>1</v>
      </c>
      <c r="R28">
        <v>43750000</v>
      </c>
      <c r="S28">
        <v>0</v>
      </c>
      <c r="T28">
        <v>0</v>
      </c>
    </row>
    <row r="29" spans="1:20" x14ac:dyDescent="0.3">
      <c r="A29" t="s">
        <v>236</v>
      </c>
      <c r="B29" t="s">
        <v>237</v>
      </c>
      <c r="C29" t="s">
        <v>139</v>
      </c>
      <c r="D29" t="s">
        <v>73</v>
      </c>
      <c r="E29" t="s">
        <v>134</v>
      </c>
      <c r="F29" t="s">
        <v>66</v>
      </c>
      <c r="G29" t="s">
        <v>74</v>
      </c>
      <c r="H29" t="s">
        <v>75</v>
      </c>
      <c r="I29">
        <v>86</v>
      </c>
      <c r="J29">
        <v>30100000</v>
      </c>
      <c r="K29">
        <v>20</v>
      </c>
      <c r="L29" s="1">
        <v>46148</v>
      </c>
      <c r="M29" t="b">
        <v>0</v>
      </c>
      <c r="N29" t="b">
        <v>0</v>
      </c>
      <c r="O29" t="b">
        <v>1</v>
      </c>
      <c r="P29">
        <v>30100000</v>
      </c>
      <c r="Q29" t="b">
        <v>1</v>
      </c>
      <c r="R29">
        <v>30100000</v>
      </c>
      <c r="S29">
        <v>0</v>
      </c>
      <c r="T29">
        <v>0</v>
      </c>
    </row>
    <row r="30" spans="1:20" x14ac:dyDescent="0.3">
      <c r="A30" t="s">
        <v>230</v>
      </c>
      <c r="B30" t="s">
        <v>232</v>
      </c>
      <c r="C30" t="s">
        <v>102</v>
      </c>
      <c r="D30" t="s">
        <v>129</v>
      </c>
      <c r="E30" t="s">
        <v>56</v>
      </c>
      <c r="F30" t="s">
        <v>114</v>
      </c>
      <c r="G30" t="s">
        <v>117</v>
      </c>
      <c r="H30" t="s">
        <v>83</v>
      </c>
      <c r="I30">
        <v>49</v>
      </c>
      <c r="J30">
        <v>88200000</v>
      </c>
      <c r="K30">
        <v>30</v>
      </c>
      <c r="L30" s="1">
        <v>46146</v>
      </c>
      <c r="M30" t="b">
        <v>0</v>
      </c>
      <c r="N30" t="b">
        <v>0</v>
      </c>
      <c r="O30" t="b">
        <v>0</v>
      </c>
      <c r="P30">
        <v>0</v>
      </c>
      <c r="Q30" t="b">
        <v>0</v>
      </c>
      <c r="R30">
        <v>0</v>
      </c>
      <c r="S30">
        <v>0</v>
      </c>
      <c r="T30">
        <v>0</v>
      </c>
    </row>
    <row r="31" spans="1:20" x14ac:dyDescent="0.3">
      <c r="A31" t="s">
        <v>230</v>
      </c>
      <c r="B31" t="s">
        <v>232</v>
      </c>
      <c r="C31" t="s">
        <v>102</v>
      </c>
      <c r="D31" t="s">
        <v>129</v>
      </c>
      <c r="E31" t="s">
        <v>56</v>
      </c>
      <c r="F31" t="s">
        <v>80</v>
      </c>
      <c r="G31" t="s">
        <v>88</v>
      </c>
      <c r="H31" t="s">
        <v>83</v>
      </c>
      <c r="I31">
        <v>84</v>
      </c>
      <c r="J31">
        <v>151200000</v>
      </c>
      <c r="K31">
        <v>10</v>
      </c>
      <c r="L31" s="1">
        <v>46082</v>
      </c>
      <c r="M31" t="b">
        <v>0</v>
      </c>
      <c r="N31" t="b">
        <v>0</v>
      </c>
      <c r="O31" t="b">
        <v>0</v>
      </c>
      <c r="P31">
        <v>0</v>
      </c>
      <c r="Q31" t="b">
        <v>0</v>
      </c>
      <c r="R31">
        <v>0</v>
      </c>
      <c r="S31">
        <v>0</v>
      </c>
      <c r="T31">
        <v>0</v>
      </c>
    </row>
    <row r="32" spans="1:20" x14ac:dyDescent="0.3">
      <c r="A32" t="s">
        <v>230</v>
      </c>
      <c r="B32" t="s">
        <v>232</v>
      </c>
      <c r="C32" t="s">
        <v>102</v>
      </c>
      <c r="D32" t="s">
        <v>129</v>
      </c>
      <c r="E32" t="s">
        <v>56</v>
      </c>
      <c r="F32" t="s">
        <v>50</v>
      </c>
      <c r="G32" t="s">
        <v>61</v>
      </c>
      <c r="H32" t="s">
        <v>54</v>
      </c>
      <c r="I32">
        <v>66</v>
      </c>
      <c r="J32">
        <v>118800000</v>
      </c>
      <c r="K32">
        <v>10</v>
      </c>
      <c r="L32" s="1">
        <v>46155</v>
      </c>
      <c r="M32" t="b">
        <v>0</v>
      </c>
      <c r="N32" t="b">
        <v>0</v>
      </c>
      <c r="O32" t="b">
        <v>0</v>
      </c>
      <c r="P32">
        <v>0</v>
      </c>
      <c r="Q32" t="b">
        <v>0</v>
      </c>
      <c r="R32">
        <v>0</v>
      </c>
      <c r="S32">
        <v>0</v>
      </c>
      <c r="T32">
        <v>0</v>
      </c>
    </row>
    <row r="33" spans="1:20" x14ac:dyDescent="0.3">
      <c r="A33" t="s">
        <v>230</v>
      </c>
      <c r="B33" t="s">
        <v>232</v>
      </c>
      <c r="C33" t="s">
        <v>102</v>
      </c>
      <c r="D33" t="s">
        <v>129</v>
      </c>
      <c r="E33" t="s">
        <v>56</v>
      </c>
      <c r="F33" t="s">
        <v>66</v>
      </c>
      <c r="G33" t="s">
        <v>74</v>
      </c>
      <c r="H33" t="s">
        <v>75</v>
      </c>
      <c r="I33">
        <v>116</v>
      </c>
      <c r="J33">
        <v>208800000</v>
      </c>
      <c r="K33">
        <v>50</v>
      </c>
      <c r="L33" s="1">
        <v>46098</v>
      </c>
      <c r="M33" t="b">
        <v>0</v>
      </c>
      <c r="N33" t="b">
        <v>0</v>
      </c>
      <c r="O33" t="b">
        <v>0</v>
      </c>
      <c r="P33">
        <v>0</v>
      </c>
      <c r="Q33" t="b">
        <v>0</v>
      </c>
      <c r="R33">
        <v>0</v>
      </c>
      <c r="S33">
        <v>0</v>
      </c>
      <c r="T33">
        <v>0</v>
      </c>
    </row>
    <row r="34" spans="1:20" x14ac:dyDescent="0.3">
      <c r="A34" t="s">
        <v>348</v>
      </c>
      <c r="B34" t="s">
        <v>349</v>
      </c>
      <c r="C34" t="s">
        <v>110</v>
      </c>
      <c r="D34" t="s">
        <v>60</v>
      </c>
      <c r="E34" t="s">
        <v>56</v>
      </c>
      <c r="F34" t="s">
        <v>114</v>
      </c>
      <c r="G34" t="s">
        <v>117</v>
      </c>
      <c r="H34" t="s">
        <v>83</v>
      </c>
      <c r="I34">
        <v>14</v>
      </c>
      <c r="J34">
        <v>6720000</v>
      </c>
      <c r="K34">
        <v>20</v>
      </c>
      <c r="L34" s="1">
        <v>46061</v>
      </c>
      <c r="M34" t="b">
        <v>1</v>
      </c>
      <c r="N34" t="b">
        <v>0</v>
      </c>
      <c r="O34" t="b">
        <v>0</v>
      </c>
      <c r="P34">
        <v>0</v>
      </c>
      <c r="Q34" t="b">
        <v>0</v>
      </c>
      <c r="R34">
        <v>0</v>
      </c>
      <c r="S34">
        <v>1</v>
      </c>
      <c r="T34">
        <v>0</v>
      </c>
    </row>
    <row r="35" spans="1:20" x14ac:dyDescent="0.3">
      <c r="A35" t="s">
        <v>348</v>
      </c>
      <c r="B35" t="s">
        <v>349</v>
      </c>
      <c r="C35" t="s">
        <v>110</v>
      </c>
      <c r="D35" t="s">
        <v>60</v>
      </c>
      <c r="E35" t="s">
        <v>56</v>
      </c>
      <c r="F35" t="s">
        <v>80</v>
      </c>
      <c r="G35" t="s">
        <v>88</v>
      </c>
      <c r="H35" t="s">
        <v>83</v>
      </c>
      <c r="I35">
        <v>95</v>
      </c>
      <c r="J35">
        <v>45600000</v>
      </c>
      <c r="K35">
        <v>10</v>
      </c>
      <c r="L35" s="1">
        <v>46099</v>
      </c>
      <c r="M35" t="b">
        <v>0</v>
      </c>
      <c r="N35" t="b">
        <v>0</v>
      </c>
      <c r="O35" t="b">
        <v>0</v>
      </c>
      <c r="P35">
        <v>0</v>
      </c>
      <c r="Q35" t="b">
        <v>0</v>
      </c>
      <c r="R35">
        <v>0</v>
      </c>
      <c r="S35">
        <v>0</v>
      </c>
      <c r="T35">
        <v>0</v>
      </c>
    </row>
    <row r="36" spans="1:20" x14ac:dyDescent="0.3">
      <c r="A36" t="s">
        <v>348</v>
      </c>
      <c r="B36" t="s">
        <v>349</v>
      </c>
      <c r="C36" t="s">
        <v>110</v>
      </c>
      <c r="D36" t="s">
        <v>60</v>
      </c>
      <c r="E36" t="s">
        <v>56</v>
      </c>
      <c r="F36" t="s">
        <v>50</v>
      </c>
      <c r="G36" t="s">
        <v>61</v>
      </c>
      <c r="H36" t="s">
        <v>54</v>
      </c>
      <c r="I36">
        <v>110</v>
      </c>
      <c r="J36">
        <v>52800000</v>
      </c>
      <c r="K36">
        <v>20</v>
      </c>
      <c r="L36" s="1">
        <v>46165</v>
      </c>
      <c r="M36" t="b">
        <v>0</v>
      </c>
      <c r="N36" t="b">
        <v>0</v>
      </c>
      <c r="O36" t="b">
        <v>0</v>
      </c>
      <c r="P36">
        <v>0</v>
      </c>
      <c r="Q36" t="b">
        <v>0</v>
      </c>
      <c r="R36">
        <v>0</v>
      </c>
      <c r="S36">
        <v>0</v>
      </c>
      <c r="T36">
        <v>0</v>
      </c>
    </row>
    <row r="37" spans="1:20" x14ac:dyDescent="0.3">
      <c r="A37" t="s">
        <v>348</v>
      </c>
      <c r="B37" t="s">
        <v>349</v>
      </c>
      <c r="C37" t="s">
        <v>110</v>
      </c>
      <c r="D37" t="s">
        <v>60</v>
      </c>
      <c r="E37" t="s">
        <v>56</v>
      </c>
      <c r="F37" t="s">
        <v>66</v>
      </c>
      <c r="G37" t="s">
        <v>74</v>
      </c>
      <c r="H37" t="s">
        <v>75</v>
      </c>
      <c r="I37">
        <v>39</v>
      </c>
      <c r="J37">
        <v>18720000</v>
      </c>
      <c r="K37">
        <v>50</v>
      </c>
      <c r="L37" s="1">
        <v>45989</v>
      </c>
      <c r="M37" t="b">
        <v>1</v>
      </c>
      <c r="N37" t="b">
        <v>0</v>
      </c>
      <c r="O37" t="b">
        <v>0</v>
      </c>
      <c r="P37">
        <v>0</v>
      </c>
      <c r="Q37" t="b">
        <v>0</v>
      </c>
      <c r="R37">
        <v>0</v>
      </c>
      <c r="S37">
        <v>1</v>
      </c>
      <c r="T37">
        <v>0</v>
      </c>
    </row>
    <row r="38" spans="1:20" x14ac:dyDescent="0.3">
      <c r="A38" t="s">
        <v>49</v>
      </c>
      <c r="B38" t="s">
        <v>57</v>
      </c>
      <c r="C38" t="s">
        <v>59</v>
      </c>
      <c r="D38" t="s">
        <v>60</v>
      </c>
      <c r="E38" t="s">
        <v>56</v>
      </c>
      <c r="F38" t="s">
        <v>114</v>
      </c>
      <c r="G38" t="s">
        <v>117</v>
      </c>
      <c r="H38" t="s">
        <v>83</v>
      </c>
      <c r="I38">
        <v>60</v>
      </c>
      <c r="J38">
        <v>54000000</v>
      </c>
      <c r="K38">
        <v>20</v>
      </c>
      <c r="L38" s="1">
        <v>46044</v>
      </c>
      <c r="M38" t="b">
        <v>0</v>
      </c>
      <c r="N38" t="b">
        <v>0</v>
      </c>
      <c r="O38" t="b">
        <v>0</v>
      </c>
      <c r="P38">
        <v>0</v>
      </c>
      <c r="Q38" t="b">
        <v>0</v>
      </c>
      <c r="R38">
        <v>0</v>
      </c>
      <c r="S38">
        <v>0</v>
      </c>
      <c r="T38">
        <v>0</v>
      </c>
    </row>
    <row r="39" spans="1:20" x14ac:dyDescent="0.3">
      <c r="A39" t="s">
        <v>49</v>
      </c>
      <c r="B39" t="s">
        <v>57</v>
      </c>
      <c r="C39" t="s">
        <v>59</v>
      </c>
      <c r="D39" t="s">
        <v>60</v>
      </c>
      <c r="E39" t="s">
        <v>56</v>
      </c>
      <c r="F39" t="s">
        <v>80</v>
      </c>
      <c r="G39" t="s">
        <v>88</v>
      </c>
      <c r="H39" t="s">
        <v>83</v>
      </c>
      <c r="I39">
        <v>39</v>
      </c>
      <c r="J39">
        <v>35100000</v>
      </c>
      <c r="K39">
        <v>20</v>
      </c>
      <c r="L39" s="1">
        <v>46070</v>
      </c>
      <c r="M39" t="b">
        <v>0</v>
      </c>
      <c r="N39" t="b">
        <v>0</v>
      </c>
      <c r="O39" t="b">
        <v>0</v>
      </c>
      <c r="P39">
        <v>0</v>
      </c>
      <c r="Q39" t="b">
        <v>0</v>
      </c>
      <c r="R39">
        <v>0</v>
      </c>
      <c r="S39">
        <v>0</v>
      </c>
      <c r="T39">
        <v>0</v>
      </c>
    </row>
    <row r="40" spans="1:20" x14ac:dyDescent="0.3">
      <c r="A40" t="s">
        <v>49</v>
      </c>
      <c r="B40" t="s">
        <v>57</v>
      </c>
      <c r="C40" t="s">
        <v>59</v>
      </c>
      <c r="D40" t="s">
        <v>60</v>
      </c>
      <c r="E40" t="s">
        <v>56</v>
      </c>
      <c r="F40" t="s">
        <v>50</v>
      </c>
      <c r="G40" t="s">
        <v>61</v>
      </c>
      <c r="H40" t="s">
        <v>54</v>
      </c>
      <c r="I40">
        <v>-3</v>
      </c>
      <c r="J40">
        <v>-2700000</v>
      </c>
      <c r="K40">
        <v>30</v>
      </c>
      <c r="L40" s="1">
        <v>46147</v>
      </c>
      <c r="M40" t="b">
        <v>1</v>
      </c>
      <c r="N40" t="b">
        <v>1</v>
      </c>
      <c r="O40" t="b">
        <v>0</v>
      </c>
      <c r="P40">
        <v>0</v>
      </c>
      <c r="Q40" t="b">
        <v>0</v>
      </c>
      <c r="R40">
        <v>0</v>
      </c>
      <c r="S40">
        <v>1</v>
      </c>
      <c r="T40">
        <v>1</v>
      </c>
    </row>
    <row r="41" spans="1:20" x14ac:dyDescent="0.3">
      <c r="A41" t="s">
        <v>49</v>
      </c>
      <c r="B41" t="s">
        <v>57</v>
      </c>
      <c r="C41" t="s">
        <v>59</v>
      </c>
      <c r="D41" t="s">
        <v>60</v>
      </c>
      <c r="E41" t="s">
        <v>56</v>
      </c>
      <c r="F41" t="s">
        <v>66</v>
      </c>
      <c r="G41" t="s">
        <v>74</v>
      </c>
      <c r="H41" t="s">
        <v>75</v>
      </c>
      <c r="I41">
        <v>57</v>
      </c>
      <c r="J41">
        <v>51300000</v>
      </c>
      <c r="K41">
        <v>10</v>
      </c>
      <c r="L41" s="1">
        <v>45987</v>
      </c>
      <c r="M41" t="b">
        <v>0</v>
      </c>
      <c r="N41" t="b">
        <v>0</v>
      </c>
      <c r="O41" t="b">
        <v>0</v>
      </c>
      <c r="P41">
        <v>0</v>
      </c>
      <c r="Q41" t="b">
        <v>0</v>
      </c>
      <c r="R41">
        <v>0</v>
      </c>
      <c r="S41">
        <v>0</v>
      </c>
      <c r="T41">
        <v>0</v>
      </c>
    </row>
    <row r="42" spans="1:20" x14ac:dyDescent="0.3">
      <c r="A42" t="s">
        <v>311</v>
      </c>
      <c r="B42" t="s">
        <v>312</v>
      </c>
      <c r="C42" t="s">
        <v>87</v>
      </c>
      <c r="D42" t="s">
        <v>60</v>
      </c>
      <c r="E42" t="s">
        <v>56</v>
      </c>
      <c r="F42" t="s">
        <v>114</v>
      </c>
      <c r="G42" t="s">
        <v>117</v>
      </c>
      <c r="H42" t="s">
        <v>83</v>
      </c>
      <c r="I42">
        <v>213</v>
      </c>
      <c r="J42">
        <v>74550000</v>
      </c>
      <c r="K42">
        <v>30</v>
      </c>
      <c r="L42" s="1">
        <v>45965</v>
      </c>
      <c r="M42" t="b">
        <v>0</v>
      </c>
      <c r="N42" t="b">
        <v>0</v>
      </c>
      <c r="O42" t="b">
        <v>1</v>
      </c>
      <c r="P42">
        <v>74550000</v>
      </c>
      <c r="Q42" t="b">
        <v>0</v>
      </c>
      <c r="R42">
        <v>0</v>
      </c>
      <c r="S42">
        <v>0</v>
      </c>
      <c r="T42">
        <v>0</v>
      </c>
    </row>
    <row r="43" spans="1:20" x14ac:dyDescent="0.3">
      <c r="A43" t="s">
        <v>311</v>
      </c>
      <c r="B43" t="s">
        <v>312</v>
      </c>
      <c r="C43" t="s">
        <v>87</v>
      </c>
      <c r="D43" t="s">
        <v>60</v>
      </c>
      <c r="E43" t="s">
        <v>56</v>
      </c>
      <c r="F43" t="s">
        <v>80</v>
      </c>
      <c r="G43" t="s">
        <v>88</v>
      </c>
      <c r="H43" t="s">
        <v>83</v>
      </c>
      <c r="I43">
        <v>267</v>
      </c>
      <c r="J43">
        <v>93450000</v>
      </c>
      <c r="K43">
        <v>50</v>
      </c>
      <c r="L43" s="1">
        <v>46051</v>
      </c>
      <c r="M43" t="b">
        <v>0</v>
      </c>
      <c r="N43" t="b">
        <v>0</v>
      </c>
      <c r="O43" t="b">
        <v>1</v>
      </c>
      <c r="P43">
        <v>93450000</v>
      </c>
      <c r="Q43" t="b">
        <v>0</v>
      </c>
      <c r="R43">
        <v>0</v>
      </c>
      <c r="S43">
        <v>0</v>
      </c>
      <c r="T43">
        <v>0</v>
      </c>
    </row>
    <row r="44" spans="1:20" x14ac:dyDescent="0.3">
      <c r="A44" t="s">
        <v>311</v>
      </c>
      <c r="B44" t="s">
        <v>312</v>
      </c>
      <c r="C44" t="s">
        <v>87</v>
      </c>
      <c r="D44" t="s">
        <v>60</v>
      </c>
      <c r="E44" t="s">
        <v>56</v>
      </c>
      <c r="F44" t="s">
        <v>50</v>
      </c>
      <c r="G44" t="s">
        <v>61</v>
      </c>
      <c r="H44" t="s">
        <v>54</v>
      </c>
      <c r="I44">
        <v>223</v>
      </c>
      <c r="J44">
        <v>78050000</v>
      </c>
      <c r="K44">
        <v>50</v>
      </c>
      <c r="L44" s="1">
        <v>46110</v>
      </c>
      <c r="M44" t="b">
        <v>0</v>
      </c>
      <c r="N44" t="b">
        <v>0</v>
      </c>
      <c r="O44" t="b">
        <v>1</v>
      </c>
      <c r="P44">
        <v>78050000</v>
      </c>
      <c r="Q44" t="b">
        <v>0</v>
      </c>
      <c r="R44">
        <v>0</v>
      </c>
      <c r="S44">
        <v>0</v>
      </c>
      <c r="T44">
        <v>0</v>
      </c>
    </row>
    <row r="45" spans="1:20" x14ac:dyDescent="0.3">
      <c r="A45" t="s">
        <v>311</v>
      </c>
      <c r="B45" t="s">
        <v>312</v>
      </c>
      <c r="C45" t="s">
        <v>87</v>
      </c>
      <c r="D45" t="s">
        <v>60</v>
      </c>
      <c r="E45" t="s">
        <v>56</v>
      </c>
      <c r="F45" t="s">
        <v>66</v>
      </c>
      <c r="G45" t="s">
        <v>74</v>
      </c>
      <c r="H45" t="s">
        <v>75</v>
      </c>
      <c r="I45">
        <v>226</v>
      </c>
      <c r="J45">
        <v>79100000</v>
      </c>
      <c r="K45">
        <v>50</v>
      </c>
      <c r="L45" s="1">
        <v>46042</v>
      </c>
      <c r="M45" t="b">
        <v>0</v>
      </c>
      <c r="N45" t="b">
        <v>0</v>
      </c>
      <c r="O45" t="b">
        <v>1</v>
      </c>
      <c r="P45">
        <v>79100000</v>
      </c>
      <c r="Q45" t="b">
        <v>0</v>
      </c>
      <c r="R45">
        <v>0</v>
      </c>
      <c r="S45">
        <v>0</v>
      </c>
      <c r="T45">
        <v>0</v>
      </c>
    </row>
    <row r="46" spans="1:20" x14ac:dyDescent="0.3">
      <c r="A46" t="s">
        <v>197</v>
      </c>
      <c r="B46" t="s">
        <v>198</v>
      </c>
      <c r="C46" t="s">
        <v>72</v>
      </c>
      <c r="D46" t="s">
        <v>129</v>
      </c>
      <c r="E46" t="s">
        <v>56</v>
      </c>
      <c r="F46" t="s">
        <v>114</v>
      </c>
      <c r="G46" t="s">
        <v>117</v>
      </c>
      <c r="H46" t="s">
        <v>83</v>
      </c>
      <c r="I46">
        <v>108</v>
      </c>
      <c r="J46">
        <v>97200000</v>
      </c>
      <c r="K46">
        <v>20</v>
      </c>
      <c r="L46" s="1">
        <v>46092</v>
      </c>
      <c r="M46" t="b">
        <v>0</v>
      </c>
      <c r="N46" t="b">
        <v>0</v>
      </c>
      <c r="O46" t="b">
        <v>1</v>
      </c>
      <c r="P46">
        <v>97200000</v>
      </c>
      <c r="Q46" t="b">
        <v>0</v>
      </c>
      <c r="R46">
        <v>0</v>
      </c>
      <c r="S46">
        <v>0</v>
      </c>
      <c r="T46">
        <v>0</v>
      </c>
    </row>
    <row r="47" spans="1:20" x14ac:dyDescent="0.3">
      <c r="A47" t="s">
        <v>197</v>
      </c>
      <c r="B47" t="s">
        <v>198</v>
      </c>
      <c r="C47" t="s">
        <v>72</v>
      </c>
      <c r="D47" t="s">
        <v>129</v>
      </c>
      <c r="E47" t="s">
        <v>56</v>
      </c>
      <c r="F47" t="s">
        <v>80</v>
      </c>
      <c r="G47" t="s">
        <v>88</v>
      </c>
      <c r="H47" t="s">
        <v>83</v>
      </c>
      <c r="I47">
        <v>115</v>
      </c>
      <c r="J47">
        <v>103500000</v>
      </c>
      <c r="K47">
        <v>50</v>
      </c>
      <c r="L47" s="1">
        <v>46081</v>
      </c>
      <c r="M47" t="b">
        <v>0</v>
      </c>
      <c r="N47" t="b">
        <v>0</v>
      </c>
      <c r="O47" t="b">
        <v>1</v>
      </c>
      <c r="P47">
        <v>103500000</v>
      </c>
      <c r="Q47" t="b">
        <v>0</v>
      </c>
      <c r="R47">
        <v>0</v>
      </c>
      <c r="S47">
        <v>0</v>
      </c>
      <c r="T47">
        <v>0</v>
      </c>
    </row>
    <row r="48" spans="1:20" x14ac:dyDescent="0.3">
      <c r="A48" t="s">
        <v>197</v>
      </c>
      <c r="B48" t="s">
        <v>198</v>
      </c>
      <c r="C48" t="s">
        <v>72</v>
      </c>
      <c r="D48" t="s">
        <v>129</v>
      </c>
      <c r="E48" t="s">
        <v>56</v>
      </c>
      <c r="F48" t="s">
        <v>50</v>
      </c>
      <c r="G48" t="s">
        <v>61</v>
      </c>
      <c r="H48" t="s">
        <v>54</v>
      </c>
      <c r="I48">
        <v>84</v>
      </c>
      <c r="J48">
        <v>75600000</v>
      </c>
      <c r="K48">
        <v>20</v>
      </c>
      <c r="L48" s="1">
        <v>46020</v>
      </c>
      <c r="M48" t="b">
        <v>0</v>
      </c>
      <c r="N48" t="b">
        <v>0</v>
      </c>
      <c r="O48" t="b">
        <v>1</v>
      </c>
      <c r="P48">
        <v>75600000</v>
      </c>
      <c r="Q48" t="b">
        <v>0</v>
      </c>
      <c r="R48">
        <v>0</v>
      </c>
      <c r="S48">
        <v>0</v>
      </c>
      <c r="T48">
        <v>0</v>
      </c>
    </row>
    <row r="49" spans="1:20" x14ac:dyDescent="0.3">
      <c r="A49" t="s">
        <v>197</v>
      </c>
      <c r="B49" t="s">
        <v>198</v>
      </c>
      <c r="C49" t="s">
        <v>72</v>
      </c>
      <c r="D49" t="s">
        <v>129</v>
      </c>
      <c r="E49" t="s">
        <v>56</v>
      </c>
      <c r="F49" t="s">
        <v>66</v>
      </c>
      <c r="G49" t="s">
        <v>74</v>
      </c>
      <c r="H49" t="s">
        <v>75</v>
      </c>
      <c r="I49">
        <v>50</v>
      </c>
      <c r="J49">
        <v>45000000</v>
      </c>
      <c r="K49">
        <v>10</v>
      </c>
      <c r="L49" s="1">
        <v>46137</v>
      </c>
      <c r="M49" t="b">
        <v>0</v>
      </c>
      <c r="N49" t="b">
        <v>0</v>
      </c>
      <c r="O49" t="b">
        <v>1</v>
      </c>
      <c r="P49">
        <v>45000000</v>
      </c>
      <c r="Q49" t="b">
        <v>0</v>
      </c>
      <c r="R49">
        <v>0</v>
      </c>
      <c r="S49">
        <v>0</v>
      </c>
      <c r="T49">
        <v>0</v>
      </c>
    </row>
    <row r="50" spans="1:20" x14ac:dyDescent="0.3">
      <c r="A50" t="s">
        <v>147</v>
      </c>
      <c r="B50" t="s">
        <v>149</v>
      </c>
      <c r="C50" t="s">
        <v>139</v>
      </c>
      <c r="D50" t="s">
        <v>129</v>
      </c>
      <c r="E50" t="s">
        <v>56</v>
      </c>
      <c r="F50" t="s">
        <v>114</v>
      </c>
      <c r="G50" t="s">
        <v>117</v>
      </c>
      <c r="H50" t="s">
        <v>83</v>
      </c>
      <c r="I50">
        <v>20</v>
      </c>
      <c r="J50">
        <v>9600000</v>
      </c>
      <c r="K50">
        <v>30</v>
      </c>
      <c r="L50" s="1">
        <v>45973</v>
      </c>
      <c r="M50" t="b">
        <v>1</v>
      </c>
      <c r="N50" t="b">
        <v>0</v>
      </c>
      <c r="O50" t="b">
        <v>0</v>
      </c>
      <c r="P50">
        <v>0</v>
      </c>
      <c r="Q50" t="b">
        <v>0</v>
      </c>
      <c r="R50">
        <v>0</v>
      </c>
      <c r="S50">
        <v>1</v>
      </c>
      <c r="T50">
        <v>0</v>
      </c>
    </row>
    <row r="51" spans="1:20" x14ac:dyDescent="0.3">
      <c r="A51" t="s">
        <v>147</v>
      </c>
      <c r="B51" t="s">
        <v>149</v>
      </c>
      <c r="C51" t="s">
        <v>139</v>
      </c>
      <c r="D51" t="s">
        <v>129</v>
      </c>
      <c r="E51" t="s">
        <v>56</v>
      </c>
      <c r="F51" t="s">
        <v>80</v>
      </c>
      <c r="G51" t="s">
        <v>88</v>
      </c>
      <c r="H51" t="s">
        <v>83</v>
      </c>
      <c r="I51">
        <v>37</v>
      </c>
      <c r="J51">
        <v>17760000</v>
      </c>
      <c r="K51">
        <v>10</v>
      </c>
      <c r="L51" s="1">
        <v>46020</v>
      </c>
      <c r="M51" t="b">
        <v>0</v>
      </c>
      <c r="N51" t="b">
        <v>0</v>
      </c>
      <c r="O51" t="b">
        <v>0</v>
      </c>
      <c r="P51">
        <v>0</v>
      </c>
      <c r="Q51" t="b">
        <v>0</v>
      </c>
      <c r="R51">
        <v>0</v>
      </c>
      <c r="S51">
        <v>0</v>
      </c>
      <c r="T51">
        <v>0</v>
      </c>
    </row>
    <row r="52" spans="1:20" x14ac:dyDescent="0.3">
      <c r="A52" t="s">
        <v>147</v>
      </c>
      <c r="B52" t="s">
        <v>149</v>
      </c>
      <c r="C52" t="s">
        <v>139</v>
      </c>
      <c r="D52" t="s">
        <v>129</v>
      </c>
      <c r="E52" t="s">
        <v>56</v>
      </c>
      <c r="F52" t="s">
        <v>50</v>
      </c>
      <c r="G52" t="s">
        <v>61</v>
      </c>
      <c r="H52" t="s">
        <v>54</v>
      </c>
      <c r="I52">
        <v>115</v>
      </c>
      <c r="J52">
        <v>55200000</v>
      </c>
      <c r="K52">
        <v>20</v>
      </c>
      <c r="L52" s="1">
        <v>45966</v>
      </c>
      <c r="M52" t="b">
        <v>0</v>
      </c>
      <c r="N52" t="b">
        <v>0</v>
      </c>
      <c r="O52" t="b">
        <v>0</v>
      </c>
      <c r="P52">
        <v>0</v>
      </c>
      <c r="Q52" t="b">
        <v>0</v>
      </c>
      <c r="R52">
        <v>0</v>
      </c>
      <c r="S52">
        <v>0</v>
      </c>
      <c r="T52">
        <v>0</v>
      </c>
    </row>
    <row r="53" spans="1:20" x14ac:dyDescent="0.3">
      <c r="A53" t="s">
        <v>147</v>
      </c>
      <c r="B53" t="s">
        <v>149</v>
      </c>
      <c r="C53" t="s">
        <v>139</v>
      </c>
      <c r="D53" t="s">
        <v>129</v>
      </c>
      <c r="E53" t="s">
        <v>56</v>
      </c>
      <c r="F53" t="s">
        <v>66</v>
      </c>
      <c r="G53" t="s">
        <v>74</v>
      </c>
      <c r="H53" t="s">
        <v>75</v>
      </c>
      <c r="I53">
        <v>97</v>
      </c>
      <c r="J53">
        <v>46560000</v>
      </c>
      <c r="K53">
        <v>10</v>
      </c>
      <c r="L53" s="1">
        <v>46104</v>
      </c>
      <c r="M53" t="b">
        <v>0</v>
      </c>
      <c r="N53" t="b">
        <v>0</v>
      </c>
      <c r="O53" t="b">
        <v>0</v>
      </c>
      <c r="P53">
        <v>0</v>
      </c>
      <c r="Q53" t="b">
        <v>0</v>
      </c>
      <c r="R53">
        <v>0</v>
      </c>
      <c r="S53">
        <v>0</v>
      </c>
      <c r="T53">
        <v>0</v>
      </c>
    </row>
    <row r="54" spans="1:20" x14ac:dyDescent="0.3">
      <c r="A54" t="s">
        <v>315</v>
      </c>
      <c r="B54" t="s">
        <v>316</v>
      </c>
      <c r="C54" t="s">
        <v>102</v>
      </c>
      <c r="D54" t="s">
        <v>60</v>
      </c>
      <c r="E54" t="s">
        <v>56</v>
      </c>
      <c r="F54" t="s">
        <v>114</v>
      </c>
      <c r="G54" t="s">
        <v>117</v>
      </c>
      <c r="H54" t="s">
        <v>83</v>
      </c>
      <c r="I54">
        <v>13</v>
      </c>
      <c r="J54">
        <v>23400000</v>
      </c>
      <c r="K54">
        <v>30</v>
      </c>
      <c r="L54" s="1">
        <v>46094</v>
      </c>
      <c r="M54" t="b">
        <v>1</v>
      </c>
      <c r="N54" t="b">
        <v>0</v>
      </c>
      <c r="O54" t="b">
        <v>1</v>
      </c>
      <c r="P54">
        <v>23400000</v>
      </c>
      <c r="Q54" t="b">
        <v>0</v>
      </c>
      <c r="R54">
        <v>0</v>
      </c>
      <c r="S54">
        <v>1</v>
      </c>
      <c r="T54">
        <v>0</v>
      </c>
    </row>
    <row r="55" spans="1:20" x14ac:dyDescent="0.3">
      <c r="A55" t="s">
        <v>315</v>
      </c>
      <c r="B55" t="s">
        <v>316</v>
      </c>
      <c r="C55" t="s">
        <v>102</v>
      </c>
      <c r="D55" t="s">
        <v>60</v>
      </c>
      <c r="E55" t="s">
        <v>56</v>
      </c>
      <c r="F55" t="s">
        <v>80</v>
      </c>
      <c r="G55" t="s">
        <v>88</v>
      </c>
      <c r="H55" t="s">
        <v>83</v>
      </c>
      <c r="I55">
        <v>32</v>
      </c>
      <c r="J55">
        <v>57600000</v>
      </c>
      <c r="K55">
        <v>20</v>
      </c>
      <c r="L55" s="1">
        <v>46069</v>
      </c>
      <c r="M55" t="b">
        <v>0</v>
      </c>
      <c r="N55" t="b">
        <v>0</v>
      </c>
      <c r="O55" t="b">
        <v>1</v>
      </c>
      <c r="P55">
        <v>57600000</v>
      </c>
      <c r="Q55" t="b">
        <v>0</v>
      </c>
      <c r="R55">
        <v>0</v>
      </c>
      <c r="S55">
        <v>0</v>
      </c>
      <c r="T55">
        <v>0</v>
      </c>
    </row>
    <row r="56" spans="1:20" x14ac:dyDescent="0.3">
      <c r="A56" t="s">
        <v>315</v>
      </c>
      <c r="B56" t="s">
        <v>316</v>
      </c>
      <c r="C56" t="s">
        <v>102</v>
      </c>
      <c r="D56" t="s">
        <v>60</v>
      </c>
      <c r="E56" t="s">
        <v>56</v>
      </c>
      <c r="F56" t="s">
        <v>50</v>
      </c>
      <c r="G56" t="s">
        <v>61</v>
      </c>
      <c r="H56" t="s">
        <v>54</v>
      </c>
      <c r="I56">
        <v>3</v>
      </c>
      <c r="J56">
        <v>5400000</v>
      </c>
      <c r="K56">
        <v>10</v>
      </c>
      <c r="L56" s="1">
        <v>46035</v>
      </c>
      <c r="M56" t="b">
        <v>1</v>
      </c>
      <c r="N56" t="b">
        <v>0</v>
      </c>
      <c r="O56" t="b">
        <v>1</v>
      </c>
      <c r="P56">
        <v>5400000</v>
      </c>
      <c r="Q56" t="b">
        <v>0</v>
      </c>
      <c r="R56">
        <v>0</v>
      </c>
      <c r="S56">
        <v>1</v>
      </c>
      <c r="T56">
        <v>0</v>
      </c>
    </row>
    <row r="57" spans="1:20" x14ac:dyDescent="0.3">
      <c r="A57" t="s">
        <v>315</v>
      </c>
      <c r="B57" t="s">
        <v>316</v>
      </c>
      <c r="C57" t="s">
        <v>102</v>
      </c>
      <c r="D57" t="s">
        <v>60</v>
      </c>
      <c r="E57" t="s">
        <v>56</v>
      </c>
      <c r="F57" t="s">
        <v>66</v>
      </c>
      <c r="G57" t="s">
        <v>74</v>
      </c>
      <c r="H57" t="s">
        <v>75</v>
      </c>
      <c r="I57">
        <v>95</v>
      </c>
      <c r="J57">
        <v>171000000</v>
      </c>
      <c r="K57">
        <v>50</v>
      </c>
      <c r="L57" s="1">
        <v>46101</v>
      </c>
      <c r="M57" t="b">
        <v>0</v>
      </c>
      <c r="N57" t="b">
        <v>0</v>
      </c>
      <c r="O57" t="b">
        <v>1</v>
      </c>
      <c r="P57">
        <v>171000000</v>
      </c>
      <c r="Q57" t="b">
        <v>0</v>
      </c>
      <c r="R57">
        <v>0</v>
      </c>
      <c r="S57">
        <v>0</v>
      </c>
      <c r="T57">
        <v>0</v>
      </c>
    </row>
    <row r="58" spans="1:20" x14ac:dyDescent="0.3">
      <c r="A58" t="s">
        <v>203</v>
      </c>
      <c r="B58" t="s">
        <v>204</v>
      </c>
      <c r="C58" t="s">
        <v>110</v>
      </c>
      <c r="D58" t="s">
        <v>73</v>
      </c>
      <c r="E58" t="s">
        <v>56</v>
      </c>
      <c r="F58" t="s">
        <v>114</v>
      </c>
      <c r="G58" t="s">
        <v>117</v>
      </c>
      <c r="H58" t="s">
        <v>83</v>
      </c>
      <c r="I58">
        <v>51</v>
      </c>
      <c r="J58">
        <v>91800000</v>
      </c>
      <c r="K58">
        <v>20</v>
      </c>
      <c r="L58" s="1">
        <v>46097</v>
      </c>
      <c r="M58" t="b">
        <v>0</v>
      </c>
      <c r="N58" t="b">
        <v>0</v>
      </c>
      <c r="O58" t="b">
        <v>0</v>
      </c>
      <c r="P58">
        <v>0</v>
      </c>
      <c r="Q58" t="b">
        <v>0</v>
      </c>
      <c r="R58">
        <v>0</v>
      </c>
      <c r="S58">
        <v>0</v>
      </c>
      <c r="T58">
        <v>0</v>
      </c>
    </row>
    <row r="59" spans="1:20" x14ac:dyDescent="0.3">
      <c r="A59" t="s">
        <v>203</v>
      </c>
      <c r="B59" t="s">
        <v>204</v>
      </c>
      <c r="C59" t="s">
        <v>110</v>
      </c>
      <c r="D59" t="s">
        <v>73</v>
      </c>
      <c r="E59" t="s">
        <v>56</v>
      </c>
      <c r="F59" t="s">
        <v>80</v>
      </c>
      <c r="G59" t="s">
        <v>88</v>
      </c>
      <c r="H59" t="s">
        <v>83</v>
      </c>
      <c r="I59">
        <v>32</v>
      </c>
      <c r="J59">
        <v>57600000</v>
      </c>
      <c r="K59">
        <v>10</v>
      </c>
      <c r="L59" s="1">
        <v>46017</v>
      </c>
      <c r="M59" t="b">
        <v>0</v>
      </c>
      <c r="N59" t="b">
        <v>0</v>
      </c>
      <c r="O59" t="b">
        <v>0</v>
      </c>
      <c r="P59">
        <v>0</v>
      </c>
      <c r="Q59" t="b">
        <v>0</v>
      </c>
      <c r="R59">
        <v>0</v>
      </c>
      <c r="S59">
        <v>0</v>
      </c>
      <c r="T59">
        <v>0</v>
      </c>
    </row>
    <row r="60" spans="1:20" x14ac:dyDescent="0.3">
      <c r="A60" t="s">
        <v>203</v>
      </c>
      <c r="B60" t="s">
        <v>204</v>
      </c>
      <c r="C60" t="s">
        <v>110</v>
      </c>
      <c r="D60" t="s">
        <v>73</v>
      </c>
      <c r="E60" t="s">
        <v>56</v>
      </c>
      <c r="F60" t="s">
        <v>50</v>
      </c>
      <c r="G60" t="s">
        <v>61</v>
      </c>
      <c r="H60" t="s">
        <v>54</v>
      </c>
      <c r="I60">
        <v>41</v>
      </c>
      <c r="J60">
        <v>73800000</v>
      </c>
      <c r="K60">
        <v>50</v>
      </c>
      <c r="L60" s="1">
        <v>46074</v>
      </c>
      <c r="M60" t="b">
        <v>1</v>
      </c>
      <c r="N60" t="b">
        <v>0</v>
      </c>
      <c r="O60" t="b">
        <v>0</v>
      </c>
      <c r="P60">
        <v>0</v>
      </c>
      <c r="Q60" t="b">
        <v>0</v>
      </c>
      <c r="R60">
        <v>0</v>
      </c>
      <c r="S60">
        <v>1</v>
      </c>
      <c r="T60">
        <v>0</v>
      </c>
    </row>
    <row r="61" spans="1:20" x14ac:dyDescent="0.3">
      <c r="A61" t="s">
        <v>203</v>
      </c>
      <c r="B61" t="s">
        <v>204</v>
      </c>
      <c r="C61" t="s">
        <v>110</v>
      </c>
      <c r="D61" t="s">
        <v>73</v>
      </c>
      <c r="E61" t="s">
        <v>56</v>
      </c>
      <c r="F61" t="s">
        <v>66</v>
      </c>
      <c r="G61" t="s">
        <v>74</v>
      </c>
      <c r="H61" t="s">
        <v>75</v>
      </c>
      <c r="I61">
        <v>10</v>
      </c>
      <c r="J61">
        <v>18000000</v>
      </c>
      <c r="K61">
        <v>20</v>
      </c>
      <c r="L61" s="1">
        <v>46016</v>
      </c>
      <c r="M61" t="b">
        <v>1</v>
      </c>
      <c r="N61" t="b">
        <v>0</v>
      </c>
      <c r="O61" t="b">
        <v>0</v>
      </c>
      <c r="P61">
        <v>0</v>
      </c>
      <c r="Q61" t="b">
        <v>0</v>
      </c>
      <c r="R61">
        <v>0</v>
      </c>
      <c r="S61">
        <v>1</v>
      </c>
      <c r="T61">
        <v>0</v>
      </c>
    </row>
    <row r="62" spans="1:20" x14ac:dyDescent="0.3">
      <c r="A62" t="s">
        <v>152</v>
      </c>
      <c r="B62" t="s">
        <v>154</v>
      </c>
      <c r="C62" t="s">
        <v>59</v>
      </c>
      <c r="D62" t="s">
        <v>73</v>
      </c>
      <c r="E62" t="s">
        <v>56</v>
      </c>
      <c r="F62" t="s">
        <v>114</v>
      </c>
      <c r="G62" t="s">
        <v>117</v>
      </c>
      <c r="H62" t="s">
        <v>83</v>
      </c>
      <c r="I62">
        <v>17</v>
      </c>
      <c r="J62">
        <v>11050000</v>
      </c>
      <c r="K62">
        <v>50</v>
      </c>
      <c r="L62" s="1">
        <v>45988</v>
      </c>
      <c r="M62" t="b">
        <v>1</v>
      </c>
      <c r="N62" t="b">
        <v>0</v>
      </c>
      <c r="O62" t="b">
        <v>0</v>
      </c>
      <c r="P62">
        <v>0</v>
      </c>
      <c r="Q62" t="b">
        <v>0</v>
      </c>
      <c r="R62">
        <v>0</v>
      </c>
      <c r="S62">
        <v>1</v>
      </c>
      <c r="T62">
        <v>0</v>
      </c>
    </row>
    <row r="63" spans="1:20" x14ac:dyDescent="0.3">
      <c r="A63" t="s">
        <v>152</v>
      </c>
      <c r="B63" t="s">
        <v>154</v>
      </c>
      <c r="C63" t="s">
        <v>59</v>
      </c>
      <c r="D63" t="s">
        <v>73</v>
      </c>
      <c r="E63" t="s">
        <v>56</v>
      </c>
      <c r="F63" t="s">
        <v>80</v>
      </c>
      <c r="G63" t="s">
        <v>88</v>
      </c>
      <c r="H63" t="s">
        <v>83</v>
      </c>
      <c r="I63">
        <v>-2</v>
      </c>
      <c r="J63">
        <v>-1300000</v>
      </c>
      <c r="K63">
        <v>20</v>
      </c>
      <c r="L63" s="1">
        <v>45984</v>
      </c>
      <c r="M63" t="b">
        <v>1</v>
      </c>
      <c r="N63" t="b">
        <v>1</v>
      </c>
      <c r="O63" t="b">
        <v>0</v>
      </c>
      <c r="P63">
        <v>0</v>
      </c>
      <c r="Q63" t="b">
        <v>0</v>
      </c>
      <c r="R63">
        <v>0</v>
      </c>
      <c r="S63">
        <v>1</v>
      </c>
      <c r="T63">
        <v>1</v>
      </c>
    </row>
    <row r="64" spans="1:20" x14ac:dyDescent="0.3">
      <c r="A64" t="s">
        <v>152</v>
      </c>
      <c r="B64" t="s">
        <v>154</v>
      </c>
      <c r="C64" t="s">
        <v>59</v>
      </c>
      <c r="D64" t="s">
        <v>73</v>
      </c>
      <c r="E64" t="s">
        <v>56</v>
      </c>
      <c r="F64" t="s">
        <v>50</v>
      </c>
      <c r="G64" t="s">
        <v>61</v>
      </c>
      <c r="H64" t="s">
        <v>54</v>
      </c>
      <c r="I64">
        <v>22</v>
      </c>
      <c r="J64">
        <v>14300000</v>
      </c>
      <c r="K64">
        <v>30</v>
      </c>
      <c r="L64" s="1">
        <v>46167</v>
      </c>
      <c r="M64" t="b">
        <v>1</v>
      </c>
      <c r="N64" t="b">
        <v>0</v>
      </c>
      <c r="O64" t="b">
        <v>0</v>
      </c>
      <c r="P64">
        <v>0</v>
      </c>
      <c r="Q64" t="b">
        <v>0</v>
      </c>
      <c r="R64">
        <v>0</v>
      </c>
      <c r="S64">
        <v>1</v>
      </c>
      <c r="T64">
        <v>0</v>
      </c>
    </row>
    <row r="65" spans="1:20" x14ac:dyDescent="0.3">
      <c r="A65" t="s">
        <v>152</v>
      </c>
      <c r="B65" t="s">
        <v>154</v>
      </c>
      <c r="C65" t="s">
        <v>59</v>
      </c>
      <c r="D65" t="s">
        <v>73</v>
      </c>
      <c r="E65" t="s">
        <v>56</v>
      </c>
      <c r="F65" t="s">
        <v>66</v>
      </c>
      <c r="G65" t="s">
        <v>74</v>
      </c>
      <c r="H65" t="s">
        <v>75</v>
      </c>
      <c r="I65">
        <v>50</v>
      </c>
      <c r="J65">
        <v>32500000</v>
      </c>
      <c r="K65">
        <v>20</v>
      </c>
      <c r="L65" s="1">
        <v>46179</v>
      </c>
      <c r="M65" t="b">
        <v>0</v>
      </c>
      <c r="N65" t="b">
        <v>0</v>
      </c>
      <c r="O65" t="b">
        <v>0</v>
      </c>
      <c r="P65">
        <v>0</v>
      </c>
      <c r="Q65" t="b">
        <v>0</v>
      </c>
      <c r="R65">
        <v>0</v>
      </c>
      <c r="S65">
        <v>0</v>
      </c>
      <c r="T65">
        <v>0</v>
      </c>
    </row>
    <row r="66" spans="1:20" x14ac:dyDescent="0.3">
      <c r="A66" t="s">
        <v>121</v>
      </c>
      <c r="B66" t="s">
        <v>124</v>
      </c>
      <c r="C66" t="s">
        <v>87</v>
      </c>
      <c r="D66" t="s">
        <v>60</v>
      </c>
      <c r="E66" t="s">
        <v>56</v>
      </c>
      <c r="F66" t="s">
        <v>114</v>
      </c>
      <c r="G66" t="s">
        <v>117</v>
      </c>
      <c r="H66" t="s">
        <v>83</v>
      </c>
      <c r="I66">
        <v>1</v>
      </c>
      <c r="J66">
        <v>180000</v>
      </c>
      <c r="K66">
        <v>30</v>
      </c>
      <c r="L66" s="1">
        <v>46159</v>
      </c>
      <c r="M66" t="b">
        <v>1</v>
      </c>
      <c r="N66" t="b">
        <v>0</v>
      </c>
      <c r="O66" t="b">
        <v>0</v>
      </c>
      <c r="P66">
        <v>0</v>
      </c>
      <c r="Q66" t="b">
        <v>0</v>
      </c>
      <c r="R66">
        <v>0</v>
      </c>
      <c r="S66">
        <v>1</v>
      </c>
      <c r="T66">
        <v>0</v>
      </c>
    </row>
    <row r="67" spans="1:20" x14ac:dyDescent="0.3">
      <c r="A67" t="s">
        <v>121</v>
      </c>
      <c r="B67" t="s">
        <v>124</v>
      </c>
      <c r="C67" t="s">
        <v>87</v>
      </c>
      <c r="D67" t="s">
        <v>60</v>
      </c>
      <c r="E67" t="s">
        <v>56</v>
      </c>
      <c r="F67" t="s">
        <v>80</v>
      </c>
      <c r="G67" t="s">
        <v>88</v>
      </c>
      <c r="H67" t="s">
        <v>83</v>
      </c>
      <c r="I67">
        <v>22</v>
      </c>
      <c r="J67">
        <v>3960000</v>
      </c>
      <c r="K67">
        <v>20</v>
      </c>
      <c r="L67" s="1">
        <v>46016</v>
      </c>
      <c r="M67" t="b">
        <v>0</v>
      </c>
      <c r="N67" t="b">
        <v>0</v>
      </c>
      <c r="O67" t="b">
        <v>0</v>
      </c>
      <c r="P67">
        <v>0</v>
      </c>
      <c r="Q67" t="b">
        <v>0</v>
      </c>
      <c r="R67">
        <v>0</v>
      </c>
      <c r="S67">
        <v>0</v>
      </c>
      <c r="T67">
        <v>0</v>
      </c>
    </row>
    <row r="68" spans="1:20" x14ac:dyDescent="0.3">
      <c r="A68" t="s">
        <v>121</v>
      </c>
      <c r="B68" t="s">
        <v>124</v>
      </c>
      <c r="C68" t="s">
        <v>87</v>
      </c>
      <c r="D68" t="s">
        <v>60</v>
      </c>
      <c r="E68" t="s">
        <v>56</v>
      </c>
      <c r="F68" t="s">
        <v>50</v>
      </c>
      <c r="G68" t="s">
        <v>61</v>
      </c>
      <c r="H68" t="s">
        <v>54</v>
      </c>
      <c r="I68">
        <v>86</v>
      </c>
      <c r="J68">
        <v>15480000</v>
      </c>
      <c r="K68">
        <v>20</v>
      </c>
      <c r="L68" s="1">
        <v>46085</v>
      </c>
      <c r="M68" t="b">
        <v>0</v>
      </c>
      <c r="N68" t="b">
        <v>0</v>
      </c>
      <c r="O68" t="b">
        <v>0</v>
      </c>
      <c r="P68">
        <v>0</v>
      </c>
      <c r="Q68" t="b">
        <v>0</v>
      </c>
      <c r="R68">
        <v>0</v>
      </c>
      <c r="S68">
        <v>0</v>
      </c>
      <c r="T68">
        <v>0</v>
      </c>
    </row>
    <row r="69" spans="1:20" x14ac:dyDescent="0.3">
      <c r="A69" t="s">
        <v>121</v>
      </c>
      <c r="B69" t="s">
        <v>124</v>
      </c>
      <c r="C69" t="s">
        <v>87</v>
      </c>
      <c r="D69" t="s">
        <v>60</v>
      </c>
      <c r="E69" t="s">
        <v>56</v>
      </c>
      <c r="F69" t="s">
        <v>66</v>
      </c>
      <c r="G69" t="s">
        <v>74</v>
      </c>
      <c r="H69" t="s">
        <v>75</v>
      </c>
      <c r="I69">
        <v>107</v>
      </c>
      <c r="J69">
        <v>19260000</v>
      </c>
      <c r="K69">
        <v>10</v>
      </c>
      <c r="L69" s="1">
        <v>46099</v>
      </c>
      <c r="M69" t="b">
        <v>0</v>
      </c>
      <c r="N69" t="b">
        <v>0</v>
      </c>
      <c r="O69" t="b">
        <v>0</v>
      </c>
      <c r="P69">
        <v>0</v>
      </c>
      <c r="Q69" t="b">
        <v>0</v>
      </c>
      <c r="R69">
        <v>0</v>
      </c>
      <c r="S69">
        <v>0</v>
      </c>
      <c r="T69">
        <v>0</v>
      </c>
    </row>
    <row r="70" spans="1:20" x14ac:dyDescent="0.3">
      <c r="A70" t="s">
        <v>113</v>
      </c>
      <c r="B70" t="s">
        <v>116</v>
      </c>
      <c r="C70" t="s">
        <v>72</v>
      </c>
      <c r="D70" t="s">
        <v>60</v>
      </c>
      <c r="E70" t="s">
        <v>56</v>
      </c>
      <c r="F70" t="s">
        <v>114</v>
      </c>
      <c r="G70" t="s">
        <v>117</v>
      </c>
      <c r="H70" t="s">
        <v>83</v>
      </c>
      <c r="I70">
        <v>-7</v>
      </c>
      <c r="J70">
        <v>-3360000</v>
      </c>
      <c r="K70">
        <v>10</v>
      </c>
      <c r="L70" s="1">
        <v>46045</v>
      </c>
      <c r="M70" t="b">
        <v>1</v>
      </c>
      <c r="N70" t="b">
        <v>1</v>
      </c>
      <c r="O70" t="b">
        <v>0</v>
      </c>
      <c r="P70">
        <v>0</v>
      </c>
      <c r="Q70" t="b">
        <v>0</v>
      </c>
      <c r="R70">
        <v>0</v>
      </c>
      <c r="S70">
        <v>1</v>
      </c>
      <c r="T70">
        <v>1</v>
      </c>
    </row>
    <row r="71" spans="1:20" x14ac:dyDescent="0.3">
      <c r="A71" t="s">
        <v>113</v>
      </c>
      <c r="B71" t="s">
        <v>116</v>
      </c>
      <c r="C71" t="s">
        <v>72</v>
      </c>
      <c r="D71" t="s">
        <v>60</v>
      </c>
      <c r="E71" t="s">
        <v>56</v>
      </c>
      <c r="F71" t="s">
        <v>80</v>
      </c>
      <c r="G71" t="s">
        <v>88</v>
      </c>
      <c r="H71" t="s">
        <v>83</v>
      </c>
      <c r="I71">
        <v>98</v>
      </c>
      <c r="J71">
        <v>47040000</v>
      </c>
      <c r="K71">
        <v>20</v>
      </c>
      <c r="L71" s="1">
        <v>46135</v>
      </c>
      <c r="M71" t="b">
        <v>0</v>
      </c>
      <c r="N71" t="b">
        <v>0</v>
      </c>
      <c r="O71" t="b">
        <v>0</v>
      </c>
      <c r="P71">
        <v>0</v>
      </c>
      <c r="Q71" t="b">
        <v>0</v>
      </c>
      <c r="R71">
        <v>0</v>
      </c>
      <c r="S71">
        <v>0</v>
      </c>
      <c r="T71">
        <v>0</v>
      </c>
    </row>
    <row r="72" spans="1:20" x14ac:dyDescent="0.3">
      <c r="A72" t="s">
        <v>113</v>
      </c>
      <c r="B72" t="s">
        <v>116</v>
      </c>
      <c r="C72" t="s">
        <v>72</v>
      </c>
      <c r="D72" t="s">
        <v>60</v>
      </c>
      <c r="E72" t="s">
        <v>56</v>
      </c>
      <c r="F72" t="s">
        <v>50</v>
      </c>
      <c r="G72" t="s">
        <v>61</v>
      </c>
      <c r="H72" t="s">
        <v>54</v>
      </c>
      <c r="I72">
        <v>-1</v>
      </c>
      <c r="J72">
        <v>-480000</v>
      </c>
      <c r="K72">
        <v>20</v>
      </c>
      <c r="L72" s="1">
        <v>46175</v>
      </c>
      <c r="M72" t="b">
        <v>1</v>
      </c>
      <c r="N72" t="b">
        <v>1</v>
      </c>
      <c r="O72" t="b">
        <v>0</v>
      </c>
      <c r="P72">
        <v>0</v>
      </c>
      <c r="Q72" t="b">
        <v>0</v>
      </c>
      <c r="R72">
        <v>0</v>
      </c>
      <c r="S72">
        <v>1</v>
      </c>
      <c r="T72">
        <v>1</v>
      </c>
    </row>
    <row r="73" spans="1:20" x14ac:dyDescent="0.3">
      <c r="A73" t="s">
        <v>113</v>
      </c>
      <c r="B73" t="s">
        <v>116</v>
      </c>
      <c r="C73" t="s">
        <v>72</v>
      </c>
      <c r="D73" t="s">
        <v>60</v>
      </c>
      <c r="E73" t="s">
        <v>56</v>
      </c>
      <c r="F73" t="s">
        <v>66</v>
      </c>
      <c r="G73" t="s">
        <v>74</v>
      </c>
      <c r="H73" t="s">
        <v>75</v>
      </c>
      <c r="I73">
        <v>1</v>
      </c>
      <c r="J73">
        <v>480000</v>
      </c>
      <c r="K73">
        <v>30</v>
      </c>
      <c r="L73" s="1">
        <v>45988</v>
      </c>
      <c r="M73" t="b">
        <v>1</v>
      </c>
      <c r="N73" t="b">
        <v>0</v>
      </c>
      <c r="O73" t="b">
        <v>0</v>
      </c>
      <c r="P73">
        <v>0</v>
      </c>
      <c r="Q73" t="b">
        <v>0</v>
      </c>
      <c r="R73">
        <v>0</v>
      </c>
      <c r="S73">
        <v>1</v>
      </c>
      <c r="T73">
        <v>0</v>
      </c>
    </row>
    <row r="74" spans="1:20" x14ac:dyDescent="0.3">
      <c r="A74" t="s">
        <v>246</v>
      </c>
      <c r="B74" t="s">
        <v>248</v>
      </c>
      <c r="C74" t="s">
        <v>139</v>
      </c>
      <c r="D74" t="s">
        <v>73</v>
      </c>
      <c r="E74" t="s">
        <v>56</v>
      </c>
      <c r="F74" t="s">
        <v>114</v>
      </c>
      <c r="G74" t="s">
        <v>117</v>
      </c>
      <c r="H74" t="s">
        <v>83</v>
      </c>
      <c r="I74">
        <v>85</v>
      </c>
      <c r="J74">
        <v>76500000</v>
      </c>
      <c r="K74">
        <v>10</v>
      </c>
      <c r="L74" s="1">
        <v>46142</v>
      </c>
      <c r="M74" t="b">
        <v>0</v>
      </c>
      <c r="N74" t="b">
        <v>0</v>
      </c>
      <c r="O74" t="b">
        <v>1</v>
      </c>
      <c r="P74">
        <v>76500000</v>
      </c>
      <c r="Q74" t="b">
        <v>0</v>
      </c>
      <c r="R74">
        <v>0</v>
      </c>
      <c r="S74">
        <v>0</v>
      </c>
      <c r="T74">
        <v>0</v>
      </c>
    </row>
    <row r="75" spans="1:20" x14ac:dyDescent="0.3">
      <c r="A75" t="s">
        <v>246</v>
      </c>
      <c r="B75" t="s">
        <v>248</v>
      </c>
      <c r="C75" t="s">
        <v>139</v>
      </c>
      <c r="D75" t="s">
        <v>73</v>
      </c>
      <c r="E75" t="s">
        <v>56</v>
      </c>
      <c r="F75" t="s">
        <v>80</v>
      </c>
      <c r="G75" t="s">
        <v>88</v>
      </c>
      <c r="H75" t="s">
        <v>83</v>
      </c>
      <c r="I75">
        <v>12</v>
      </c>
      <c r="J75">
        <v>10800000</v>
      </c>
      <c r="K75">
        <v>20</v>
      </c>
      <c r="L75" s="1">
        <v>46013</v>
      </c>
      <c r="M75" t="b">
        <v>1</v>
      </c>
      <c r="N75" t="b">
        <v>0</v>
      </c>
      <c r="O75" t="b">
        <v>1</v>
      </c>
      <c r="P75">
        <v>10800000</v>
      </c>
      <c r="Q75" t="b">
        <v>0</v>
      </c>
      <c r="R75">
        <v>0</v>
      </c>
      <c r="S75">
        <v>1</v>
      </c>
      <c r="T75">
        <v>0</v>
      </c>
    </row>
    <row r="76" spans="1:20" x14ac:dyDescent="0.3">
      <c r="A76" t="s">
        <v>246</v>
      </c>
      <c r="B76" t="s">
        <v>248</v>
      </c>
      <c r="C76" t="s">
        <v>139</v>
      </c>
      <c r="D76" t="s">
        <v>73</v>
      </c>
      <c r="E76" t="s">
        <v>56</v>
      </c>
      <c r="F76" t="s">
        <v>50</v>
      </c>
      <c r="G76" t="s">
        <v>61</v>
      </c>
      <c r="H76" t="s">
        <v>54</v>
      </c>
      <c r="I76">
        <v>53</v>
      </c>
      <c r="J76">
        <v>47700000</v>
      </c>
      <c r="K76">
        <v>10</v>
      </c>
      <c r="L76" s="1">
        <v>45990</v>
      </c>
      <c r="M76" t="b">
        <v>0</v>
      </c>
      <c r="N76" t="b">
        <v>0</v>
      </c>
      <c r="O76" t="b">
        <v>1</v>
      </c>
      <c r="P76">
        <v>47700000</v>
      </c>
      <c r="Q76" t="b">
        <v>0</v>
      </c>
      <c r="R76">
        <v>0</v>
      </c>
      <c r="S76">
        <v>0</v>
      </c>
      <c r="T76">
        <v>0</v>
      </c>
    </row>
    <row r="77" spans="1:20" x14ac:dyDescent="0.3">
      <c r="A77" t="s">
        <v>246</v>
      </c>
      <c r="B77" t="s">
        <v>248</v>
      </c>
      <c r="C77" t="s">
        <v>139</v>
      </c>
      <c r="D77" t="s">
        <v>73</v>
      </c>
      <c r="E77" t="s">
        <v>56</v>
      </c>
      <c r="F77" t="s">
        <v>66</v>
      </c>
      <c r="G77" t="s">
        <v>74</v>
      </c>
      <c r="H77" t="s">
        <v>75</v>
      </c>
      <c r="I77">
        <v>71</v>
      </c>
      <c r="J77">
        <v>63900000</v>
      </c>
      <c r="K77">
        <v>20</v>
      </c>
      <c r="L77" s="1">
        <v>46039</v>
      </c>
      <c r="M77" t="b">
        <v>0</v>
      </c>
      <c r="N77" t="b">
        <v>0</v>
      </c>
      <c r="O77" t="b">
        <v>1</v>
      </c>
      <c r="P77">
        <v>63900000</v>
      </c>
      <c r="Q77" t="b">
        <v>0</v>
      </c>
      <c r="R77">
        <v>0</v>
      </c>
      <c r="S77">
        <v>0</v>
      </c>
      <c r="T77">
        <v>0</v>
      </c>
    </row>
    <row r="78" spans="1:20" x14ac:dyDescent="0.3">
      <c r="A78" t="s">
        <v>378</v>
      </c>
      <c r="B78" t="s">
        <v>380</v>
      </c>
      <c r="C78" t="s">
        <v>102</v>
      </c>
      <c r="D78" t="s">
        <v>129</v>
      </c>
      <c r="E78" t="s">
        <v>56</v>
      </c>
      <c r="F78" t="s">
        <v>114</v>
      </c>
      <c r="G78" t="s">
        <v>117</v>
      </c>
      <c r="H78" t="s">
        <v>83</v>
      </c>
      <c r="I78">
        <v>69</v>
      </c>
      <c r="J78">
        <v>44850000</v>
      </c>
      <c r="K78">
        <v>50</v>
      </c>
      <c r="L78" s="1">
        <v>46089</v>
      </c>
      <c r="M78" t="b">
        <v>0</v>
      </c>
      <c r="N78" t="b">
        <v>0</v>
      </c>
      <c r="O78" t="b">
        <v>0</v>
      </c>
      <c r="P78">
        <v>0</v>
      </c>
      <c r="Q78" t="b">
        <v>0</v>
      </c>
      <c r="R78">
        <v>0</v>
      </c>
      <c r="S78">
        <v>0</v>
      </c>
      <c r="T78">
        <v>0</v>
      </c>
    </row>
    <row r="79" spans="1:20" x14ac:dyDescent="0.3">
      <c r="A79" t="s">
        <v>378</v>
      </c>
      <c r="B79" t="s">
        <v>380</v>
      </c>
      <c r="C79" t="s">
        <v>102</v>
      </c>
      <c r="D79" t="s">
        <v>129</v>
      </c>
      <c r="E79" t="s">
        <v>56</v>
      </c>
      <c r="F79" t="s">
        <v>80</v>
      </c>
      <c r="G79" t="s">
        <v>88</v>
      </c>
      <c r="H79" t="s">
        <v>83</v>
      </c>
      <c r="I79">
        <v>27</v>
      </c>
      <c r="J79">
        <v>17550000</v>
      </c>
      <c r="K79">
        <v>10</v>
      </c>
      <c r="L79" s="1">
        <v>46107</v>
      </c>
      <c r="M79" t="b">
        <v>0</v>
      </c>
      <c r="N79" t="b">
        <v>0</v>
      </c>
      <c r="O79" t="b">
        <v>0</v>
      </c>
      <c r="P79">
        <v>0</v>
      </c>
      <c r="Q79" t="b">
        <v>0</v>
      </c>
      <c r="R79">
        <v>0</v>
      </c>
      <c r="S79">
        <v>0</v>
      </c>
      <c r="T79">
        <v>0</v>
      </c>
    </row>
    <row r="80" spans="1:20" x14ac:dyDescent="0.3">
      <c r="A80" t="s">
        <v>378</v>
      </c>
      <c r="B80" t="s">
        <v>380</v>
      </c>
      <c r="C80" t="s">
        <v>102</v>
      </c>
      <c r="D80" t="s">
        <v>129</v>
      </c>
      <c r="E80" t="s">
        <v>56</v>
      </c>
      <c r="F80" t="s">
        <v>50</v>
      </c>
      <c r="G80" t="s">
        <v>61</v>
      </c>
      <c r="H80" t="s">
        <v>54</v>
      </c>
      <c r="I80">
        <v>1</v>
      </c>
      <c r="J80">
        <v>650000</v>
      </c>
      <c r="K80">
        <v>50</v>
      </c>
      <c r="L80" s="1">
        <v>46031</v>
      </c>
      <c r="M80" t="b">
        <v>1</v>
      </c>
      <c r="N80" t="b">
        <v>0</v>
      </c>
      <c r="O80" t="b">
        <v>0</v>
      </c>
      <c r="P80">
        <v>0</v>
      </c>
      <c r="Q80" t="b">
        <v>0</v>
      </c>
      <c r="R80">
        <v>0</v>
      </c>
      <c r="S80">
        <v>1</v>
      </c>
      <c r="T80">
        <v>0</v>
      </c>
    </row>
    <row r="81" spans="1:20" x14ac:dyDescent="0.3">
      <c r="A81" t="s">
        <v>378</v>
      </c>
      <c r="B81" t="s">
        <v>380</v>
      </c>
      <c r="C81" t="s">
        <v>102</v>
      </c>
      <c r="D81" t="s">
        <v>129</v>
      </c>
      <c r="E81" t="s">
        <v>56</v>
      </c>
      <c r="F81" t="s">
        <v>66</v>
      </c>
      <c r="G81" t="s">
        <v>74</v>
      </c>
      <c r="H81" t="s">
        <v>75</v>
      </c>
      <c r="I81">
        <v>49</v>
      </c>
      <c r="J81">
        <v>31850000</v>
      </c>
      <c r="K81">
        <v>20</v>
      </c>
      <c r="L81" s="1">
        <v>46081</v>
      </c>
      <c r="M81" t="b">
        <v>0</v>
      </c>
      <c r="N81" t="b">
        <v>0</v>
      </c>
      <c r="O81" t="b">
        <v>0</v>
      </c>
      <c r="P81">
        <v>0</v>
      </c>
      <c r="Q81" t="b">
        <v>0</v>
      </c>
      <c r="R81">
        <v>0</v>
      </c>
      <c r="S81">
        <v>0</v>
      </c>
      <c r="T81">
        <v>0</v>
      </c>
    </row>
    <row r="82" spans="1:20" x14ac:dyDescent="0.3">
      <c r="A82" t="s">
        <v>132</v>
      </c>
      <c r="B82" t="s">
        <v>133</v>
      </c>
      <c r="C82" t="s">
        <v>110</v>
      </c>
      <c r="D82" t="s">
        <v>73</v>
      </c>
      <c r="E82" t="s">
        <v>134</v>
      </c>
      <c r="F82" t="s">
        <v>114</v>
      </c>
      <c r="G82" t="s">
        <v>117</v>
      </c>
      <c r="H82" t="s">
        <v>83</v>
      </c>
      <c r="I82">
        <v>151</v>
      </c>
      <c r="J82">
        <v>52850000</v>
      </c>
      <c r="K82">
        <v>30</v>
      </c>
      <c r="L82" s="1">
        <v>46187</v>
      </c>
      <c r="M82" t="b">
        <v>0</v>
      </c>
      <c r="N82" t="b">
        <v>0</v>
      </c>
      <c r="O82" t="b">
        <v>1</v>
      </c>
      <c r="P82">
        <v>52850000</v>
      </c>
      <c r="Q82" t="b">
        <v>1</v>
      </c>
      <c r="R82">
        <v>52850000</v>
      </c>
      <c r="S82">
        <v>0</v>
      </c>
      <c r="T82">
        <v>0</v>
      </c>
    </row>
    <row r="83" spans="1:20" x14ac:dyDescent="0.3">
      <c r="A83" t="s">
        <v>132</v>
      </c>
      <c r="B83" t="s">
        <v>133</v>
      </c>
      <c r="C83" t="s">
        <v>110</v>
      </c>
      <c r="D83" t="s">
        <v>73</v>
      </c>
      <c r="E83" t="s">
        <v>134</v>
      </c>
      <c r="F83" t="s">
        <v>80</v>
      </c>
      <c r="G83" t="s">
        <v>88</v>
      </c>
      <c r="H83" t="s">
        <v>83</v>
      </c>
      <c r="I83">
        <v>185</v>
      </c>
      <c r="J83">
        <v>64750000</v>
      </c>
      <c r="K83">
        <v>30</v>
      </c>
      <c r="L83" s="1">
        <v>46002</v>
      </c>
      <c r="M83" t="b">
        <v>0</v>
      </c>
      <c r="N83" t="b">
        <v>0</v>
      </c>
      <c r="O83" t="b">
        <v>1</v>
      </c>
      <c r="P83">
        <v>64750000</v>
      </c>
      <c r="Q83" t="b">
        <v>1</v>
      </c>
      <c r="R83">
        <v>64750000</v>
      </c>
      <c r="S83">
        <v>0</v>
      </c>
      <c r="T83">
        <v>0</v>
      </c>
    </row>
    <row r="84" spans="1:20" x14ac:dyDescent="0.3">
      <c r="A84" t="s">
        <v>132</v>
      </c>
      <c r="B84" t="s">
        <v>133</v>
      </c>
      <c r="C84" t="s">
        <v>110</v>
      </c>
      <c r="D84" t="s">
        <v>73</v>
      </c>
      <c r="E84" t="s">
        <v>134</v>
      </c>
      <c r="F84" t="s">
        <v>50</v>
      </c>
      <c r="G84" t="s">
        <v>61</v>
      </c>
      <c r="H84" t="s">
        <v>54</v>
      </c>
      <c r="I84">
        <v>217</v>
      </c>
      <c r="J84">
        <v>75950000</v>
      </c>
      <c r="K84">
        <v>20</v>
      </c>
      <c r="L84" s="1">
        <v>46134</v>
      </c>
      <c r="M84" t="b">
        <v>0</v>
      </c>
      <c r="N84" t="b">
        <v>0</v>
      </c>
      <c r="O84" t="b">
        <v>1</v>
      </c>
      <c r="P84">
        <v>75950000</v>
      </c>
      <c r="Q84" t="b">
        <v>1</v>
      </c>
      <c r="R84">
        <v>75950000</v>
      </c>
      <c r="S84">
        <v>0</v>
      </c>
      <c r="T84">
        <v>0</v>
      </c>
    </row>
    <row r="85" spans="1:20" x14ac:dyDescent="0.3">
      <c r="A85" t="s">
        <v>132</v>
      </c>
      <c r="B85" t="s">
        <v>133</v>
      </c>
      <c r="C85" t="s">
        <v>110</v>
      </c>
      <c r="D85" t="s">
        <v>73</v>
      </c>
      <c r="E85" t="s">
        <v>134</v>
      </c>
      <c r="F85" t="s">
        <v>66</v>
      </c>
      <c r="G85" t="s">
        <v>74</v>
      </c>
      <c r="H85" t="s">
        <v>75</v>
      </c>
      <c r="I85">
        <v>163</v>
      </c>
      <c r="J85">
        <v>57050000</v>
      </c>
      <c r="K85">
        <v>50</v>
      </c>
      <c r="L85" s="1">
        <v>46025</v>
      </c>
      <c r="M85" t="b">
        <v>0</v>
      </c>
      <c r="N85" t="b">
        <v>0</v>
      </c>
      <c r="O85" t="b">
        <v>1</v>
      </c>
      <c r="P85">
        <v>57050000</v>
      </c>
      <c r="Q85" t="b">
        <v>1</v>
      </c>
      <c r="R85">
        <v>57050000</v>
      </c>
      <c r="S85">
        <v>0</v>
      </c>
      <c r="T85">
        <v>0</v>
      </c>
    </row>
    <row r="86" spans="1:20" x14ac:dyDescent="0.3">
      <c r="A86" t="s">
        <v>255</v>
      </c>
      <c r="B86" t="s">
        <v>257</v>
      </c>
      <c r="C86" t="s">
        <v>59</v>
      </c>
      <c r="D86" t="s">
        <v>60</v>
      </c>
      <c r="E86" t="s">
        <v>56</v>
      </c>
      <c r="F86" t="s">
        <v>114</v>
      </c>
      <c r="G86" t="s">
        <v>117</v>
      </c>
      <c r="H86" t="s">
        <v>83</v>
      </c>
      <c r="I86">
        <v>98</v>
      </c>
      <c r="J86">
        <v>17640000</v>
      </c>
      <c r="K86">
        <v>20</v>
      </c>
      <c r="L86" s="1">
        <v>46113</v>
      </c>
      <c r="M86" t="b">
        <v>0</v>
      </c>
      <c r="N86" t="b">
        <v>0</v>
      </c>
      <c r="O86" t="b">
        <v>0</v>
      </c>
      <c r="P86">
        <v>0</v>
      </c>
      <c r="Q86" t="b">
        <v>0</v>
      </c>
      <c r="R86">
        <v>0</v>
      </c>
      <c r="S86">
        <v>0</v>
      </c>
      <c r="T86">
        <v>0</v>
      </c>
    </row>
    <row r="87" spans="1:20" x14ac:dyDescent="0.3">
      <c r="A87" t="s">
        <v>255</v>
      </c>
      <c r="B87" t="s">
        <v>257</v>
      </c>
      <c r="C87" t="s">
        <v>59</v>
      </c>
      <c r="D87" t="s">
        <v>60</v>
      </c>
      <c r="E87" t="s">
        <v>56</v>
      </c>
      <c r="F87" t="s">
        <v>80</v>
      </c>
      <c r="G87" t="s">
        <v>88</v>
      </c>
      <c r="H87" t="s">
        <v>83</v>
      </c>
      <c r="I87">
        <v>97</v>
      </c>
      <c r="J87">
        <v>17460000</v>
      </c>
      <c r="K87">
        <v>30</v>
      </c>
      <c r="L87" s="1">
        <v>45981</v>
      </c>
      <c r="M87" t="b">
        <v>0</v>
      </c>
      <c r="N87" t="b">
        <v>0</v>
      </c>
      <c r="O87" t="b">
        <v>0</v>
      </c>
      <c r="P87">
        <v>0</v>
      </c>
      <c r="Q87" t="b">
        <v>0</v>
      </c>
      <c r="R87">
        <v>0</v>
      </c>
      <c r="S87">
        <v>0</v>
      </c>
      <c r="T87">
        <v>0</v>
      </c>
    </row>
    <row r="88" spans="1:20" x14ac:dyDescent="0.3">
      <c r="A88" t="s">
        <v>255</v>
      </c>
      <c r="B88" t="s">
        <v>257</v>
      </c>
      <c r="C88" t="s">
        <v>59</v>
      </c>
      <c r="D88" t="s">
        <v>60</v>
      </c>
      <c r="E88" t="s">
        <v>56</v>
      </c>
      <c r="F88" t="s">
        <v>50</v>
      </c>
      <c r="G88" t="s">
        <v>61</v>
      </c>
      <c r="H88" t="s">
        <v>54</v>
      </c>
      <c r="I88">
        <v>8</v>
      </c>
      <c r="J88">
        <v>1440000</v>
      </c>
      <c r="K88">
        <v>30</v>
      </c>
      <c r="L88" s="1">
        <v>46194</v>
      </c>
      <c r="M88" t="b">
        <v>1</v>
      </c>
      <c r="N88" t="b">
        <v>0</v>
      </c>
      <c r="O88" t="b">
        <v>0</v>
      </c>
      <c r="P88">
        <v>0</v>
      </c>
      <c r="Q88" t="b">
        <v>0</v>
      </c>
      <c r="R88">
        <v>0</v>
      </c>
      <c r="S88">
        <v>1</v>
      </c>
      <c r="T88">
        <v>0</v>
      </c>
    </row>
    <row r="89" spans="1:20" x14ac:dyDescent="0.3">
      <c r="A89" t="s">
        <v>255</v>
      </c>
      <c r="B89" t="s">
        <v>257</v>
      </c>
      <c r="C89" t="s">
        <v>59</v>
      </c>
      <c r="D89" t="s">
        <v>60</v>
      </c>
      <c r="E89" t="s">
        <v>56</v>
      </c>
      <c r="F89" t="s">
        <v>66</v>
      </c>
      <c r="G89" t="s">
        <v>74</v>
      </c>
      <c r="H89" t="s">
        <v>75</v>
      </c>
      <c r="I89">
        <v>74</v>
      </c>
      <c r="J89">
        <v>13320000</v>
      </c>
      <c r="K89">
        <v>50</v>
      </c>
      <c r="L89" s="1">
        <v>46101</v>
      </c>
      <c r="M89" t="b">
        <v>0</v>
      </c>
      <c r="N89" t="b">
        <v>0</v>
      </c>
      <c r="O89" t="b">
        <v>0</v>
      </c>
      <c r="P89">
        <v>0</v>
      </c>
      <c r="Q89" t="b">
        <v>0</v>
      </c>
      <c r="R89">
        <v>0</v>
      </c>
      <c r="S89">
        <v>0</v>
      </c>
      <c r="T89">
        <v>0</v>
      </c>
    </row>
    <row r="90" spans="1:20" x14ac:dyDescent="0.3">
      <c r="A90" t="s">
        <v>91</v>
      </c>
      <c r="B90" t="s">
        <v>93</v>
      </c>
      <c r="C90" t="s">
        <v>87</v>
      </c>
      <c r="D90" t="s">
        <v>60</v>
      </c>
      <c r="E90" t="s">
        <v>56</v>
      </c>
      <c r="F90" t="s">
        <v>114</v>
      </c>
      <c r="G90" t="s">
        <v>117</v>
      </c>
      <c r="H90" t="s">
        <v>83</v>
      </c>
      <c r="I90">
        <v>94</v>
      </c>
      <c r="J90">
        <v>169200000</v>
      </c>
      <c r="K90">
        <v>20</v>
      </c>
      <c r="L90" s="1">
        <v>46070</v>
      </c>
      <c r="M90" t="b">
        <v>0</v>
      </c>
      <c r="N90" t="b">
        <v>0</v>
      </c>
      <c r="O90" t="b">
        <v>1</v>
      </c>
      <c r="P90">
        <v>169200000</v>
      </c>
      <c r="Q90" t="b">
        <v>0</v>
      </c>
      <c r="R90">
        <v>0</v>
      </c>
      <c r="S90">
        <v>0</v>
      </c>
      <c r="T90">
        <v>0</v>
      </c>
    </row>
    <row r="91" spans="1:20" x14ac:dyDescent="0.3">
      <c r="A91" t="s">
        <v>91</v>
      </c>
      <c r="B91" t="s">
        <v>93</v>
      </c>
      <c r="C91" t="s">
        <v>87</v>
      </c>
      <c r="D91" t="s">
        <v>60</v>
      </c>
      <c r="E91" t="s">
        <v>56</v>
      </c>
      <c r="F91" t="s">
        <v>80</v>
      </c>
      <c r="G91" t="s">
        <v>88</v>
      </c>
      <c r="H91" t="s">
        <v>83</v>
      </c>
      <c r="I91">
        <v>1</v>
      </c>
      <c r="J91">
        <v>1800000</v>
      </c>
      <c r="K91">
        <v>20</v>
      </c>
      <c r="L91" s="1">
        <v>46193</v>
      </c>
      <c r="M91" t="b">
        <v>1</v>
      </c>
      <c r="N91" t="b">
        <v>0</v>
      </c>
      <c r="O91" t="b">
        <v>1</v>
      </c>
      <c r="P91">
        <v>1800000</v>
      </c>
      <c r="Q91" t="b">
        <v>0</v>
      </c>
      <c r="R91">
        <v>0</v>
      </c>
      <c r="S91">
        <v>1</v>
      </c>
      <c r="T91">
        <v>0</v>
      </c>
    </row>
    <row r="92" spans="1:20" x14ac:dyDescent="0.3">
      <c r="A92" t="s">
        <v>91</v>
      </c>
      <c r="B92" t="s">
        <v>93</v>
      </c>
      <c r="C92" t="s">
        <v>87</v>
      </c>
      <c r="D92" t="s">
        <v>60</v>
      </c>
      <c r="E92" t="s">
        <v>56</v>
      </c>
      <c r="F92" t="s">
        <v>50</v>
      </c>
      <c r="G92" t="s">
        <v>61</v>
      </c>
      <c r="H92" t="s">
        <v>54</v>
      </c>
      <c r="I92">
        <v>114</v>
      </c>
      <c r="J92">
        <v>205200000</v>
      </c>
      <c r="K92">
        <v>10</v>
      </c>
      <c r="L92" s="1">
        <v>46119</v>
      </c>
      <c r="M92" t="b">
        <v>0</v>
      </c>
      <c r="N92" t="b">
        <v>0</v>
      </c>
      <c r="O92" t="b">
        <v>1</v>
      </c>
      <c r="P92">
        <v>205200000</v>
      </c>
      <c r="Q92" t="b">
        <v>0</v>
      </c>
      <c r="R92">
        <v>0</v>
      </c>
      <c r="S92">
        <v>0</v>
      </c>
      <c r="T92">
        <v>0</v>
      </c>
    </row>
    <row r="93" spans="1:20" x14ac:dyDescent="0.3">
      <c r="A93" t="s">
        <v>91</v>
      </c>
      <c r="B93" t="s">
        <v>93</v>
      </c>
      <c r="C93" t="s">
        <v>87</v>
      </c>
      <c r="D93" t="s">
        <v>60</v>
      </c>
      <c r="E93" t="s">
        <v>56</v>
      </c>
      <c r="F93" t="s">
        <v>66</v>
      </c>
      <c r="G93" t="s">
        <v>74</v>
      </c>
      <c r="H93" t="s">
        <v>75</v>
      </c>
      <c r="I93">
        <v>54</v>
      </c>
      <c r="J93">
        <v>97200000</v>
      </c>
      <c r="K93">
        <v>20</v>
      </c>
      <c r="L93" s="1">
        <v>46040</v>
      </c>
      <c r="M93" t="b">
        <v>0</v>
      </c>
      <c r="N93" t="b">
        <v>0</v>
      </c>
      <c r="O93" t="b">
        <v>1</v>
      </c>
      <c r="P93">
        <v>97200000</v>
      </c>
      <c r="Q93" t="b">
        <v>0</v>
      </c>
      <c r="R93">
        <v>0</v>
      </c>
      <c r="S93">
        <v>0</v>
      </c>
      <c r="T93">
        <v>0</v>
      </c>
    </row>
    <row r="94" spans="1:20" x14ac:dyDescent="0.3">
      <c r="A94" t="s">
        <v>242</v>
      </c>
      <c r="B94" t="s">
        <v>243</v>
      </c>
      <c r="C94" t="s">
        <v>72</v>
      </c>
      <c r="D94" t="s">
        <v>73</v>
      </c>
      <c r="E94" t="s">
        <v>56</v>
      </c>
      <c r="F94" t="s">
        <v>114</v>
      </c>
      <c r="G94" t="s">
        <v>117</v>
      </c>
      <c r="H94" t="s">
        <v>83</v>
      </c>
      <c r="I94">
        <v>17</v>
      </c>
      <c r="J94">
        <v>20400000</v>
      </c>
      <c r="K94">
        <v>30</v>
      </c>
      <c r="L94" s="1">
        <v>46071</v>
      </c>
      <c r="M94" t="b">
        <v>1</v>
      </c>
      <c r="N94" t="b">
        <v>0</v>
      </c>
      <c r="O94" t="b">
        <v>0</v>
      </c>
      <c r="P94">
        <v>0</v>
      </c>
      <c r="Q94" t="b">
        <v>0</v>
      </c>
      <c r="R94">
        <v>0</v>
      </c>
      <c r="S94">
        <v>1</v>
      </c>
      <c r="T94">
        <v>0</v>
      </c>
    </row>
    <row r="95" spans="1:20" x14ac:dyDescent="0.3">
      <c r="A95" t="s">
        <v>242</v>
      </c>
      <c r="B95" t="s">
        <v>243</v>
      </c>
      <c r="C95" t="s">
        <v>72</v>
      </c>
      <c r="D95" t="s">
        <v>73</v>
      </c>
      <c r="E95" t="s">
        <v>56</v>
      </c>
      <c r="F95" t="s">
        <v>80</v>
      </c>
      <c r="G95" t="s">
        <v>88</v>
      </c>
      <c r="H95" t="s">
        <v>83</v>
      </c>
      <c r="I95">
        <v>19</v>
      </c>
      <c r="J95">
        <v>22800000</v>
      </c>
      <c r="K95">
        <v>50</v>
      </c>
      <c r="L95" s="1">
        <v>46146</v>
      </c>
      <c r="M95" t="b">
        <v>1</v>
      </c>
      <c r="N95" t="b">
        <v>0</v>
      </c>
      <c r="O95" t="b">
        <v>0</v>
      </c>
      <c r="P95">
        <v>0</v>
      </c>
      <c r="Q95" t="b">
        <v>0</v>
      </c>
      <c r="R95">
        <v>0</v>
      </c>
      <c r="S95">
        <v>1</v>
      </c>
      <c r="T95">
        <v>0</v>
      </c>
    </row>
    <row r="96" spans="1:20" x14ac:dyDescent="0.3">
      <c r="A96" t="s">
        <v>242</v>
      </c>
      <c r="B96" t="s">
        <v>243</v>
      </c>
      <c r="C96" t="s">
        <v>72</v>
      </c>
      <c r="D96" t="s">
        <v>73</v>
      </c>
      <c r="E96" t="s">
        <v>56</v>
      </c>
      <c r="F96" t="s">
        <v>50</v>
      </c>
      <c r="G96" t="s">
        <v>61</v>
      </c>
      <c r="H96" t="s">
        <v>54</v>
      </c>
      <c r="I96">
        <v>30</v>
      </c>
      <c r="J96">
        <v>36000000</v>
      </c>
      <c r="K96">
        <v>50</v>
      </c>
      <c r="L96" s="1">
        <v>46009</v>
      </c>
      <c r="M96" t="b">
        <v>1</v>
      </c>
      <c r="N96" t="b">
        <v>0</v>
      </c>
      <c r="O96" t="b">
        <v>0</v>
      </c>
      <c r="P96">
        <v>0</v>
      </c>
      <c r="Q96" t="b">
        <v>0</v>
      </c>
      <c r="R96">
        <v>0</v>
      </c>
      <c r="S96">
        <v>1</v>
      </c>
      <c r="T96">
        <v>0</v>
      </c>
    </row>
    <row r="97" spans="1:20" x14ac:dyDescent="0.3">
      <c r="A97" t="s">
        <v>242</v>
      </c>
      <c r="B97" t="s">
        <v>243</v>
      </c>
      <c r="C97" t="s">
        <v>72</v>
      </c>
      <c r="D97" t="s">
        <v>73</v>
      </c>
      <c r="E97" t="s">
        <v>56</v>
      </c>
      <c r="F97" t="s">
        <v>66</v>
      </c>
      <c r="G97" t="s">
        <v>74</v>
      </c>
      <c r="H97" t="s">
        <v>75</v>
      </c>
      <c r="I97">
        <v>17</v>
      </c>
      <c r="J97">
        <v>20400000</v>
      </c>
      <c r="K97">
        <v>30</v>
      </c>
      <c r="L97" s="1">
        <v>46117</v>
      </c>
      <c r="M97" t="b">
        <v>1</v>
      </c>
      <c r="N97" t="b">
        <v>0</v>
      </c>
      <c r="O97" t="b">
        <v>0</v>
      </c>
      <c r="P97">
        <v>0</v>
      </c>
      <c r="Q97" t="b">
        <v>0</v>
      </c>
      <c r="R97">
        <v>0</v>
      </c>
      <c r="S97">
        <v>1</v>
      </c>
      <c r="T97">
        <v>0</v>
      </c>
    </row>
    <row r="98" spans="1:20" x14ac:dyDescent="0.3">
      <c r="A98" t="s">
        <v>136</v>
      </c>
      <c r="B98" t="s">
        <v>137</v>
      </c>
      <c r="C98" t="s">
        <v>139</v>
      </c>
      <c r="D98" t="s">
        <v>129</v>
      </c>
      <c r="E98" t="s">
        <v>56</v>
      </c>
      <c r="F98" t="s">
        <v>114</v>
      </c>
      <c r="G98" t="s">
        <v>117</v>
      </c>
      <c r="H98" t="s">
        <v>83</v>
      </c>
      <c r="I98">
        <v>97</v>
      </c>
      <c r="J98">
        <v>174600000</v>
      </c>
      <c r="K98">
        <v>10</v>
      </c>
      <c r="L98" s="1">
        <v>46065</v>
      </c>
      <c r="M98" t="b">
        <v>0</v>
      </c>
      <c r="N98" t="b">
        <v>0</v>
      </c>
      <c r="O98" t="b">
        <v>0</v>
      </c>
      <c r="P98">
        <v>0</v>
      </c>
      <c r="Q98" t="b">
        <v>0</v>
      </c>
      <c r="R98">
        <v>0</v>
      </c>
      <c r="S98">
        <v>0</v>
      </c>
      <c r="T98">
        <v>0</v>
      </c>
    </row>
    <row r="99" spans="1:20" x14ac:dyDescent="0.3">
      <c r="A99" t="s">
        <v>136</v>
      </c>
      <c r="B99" t="s">
        <v>137</v>
      </c>
      <c r="C99" t="s">
        <v>139</v>
      </c>
      <c r="D99" t="s">
        <v>129</v>
      </c>
      <c r="E99" t="s">
        <v>56</v>
      </c>
      <c r="F99" t="s">
        <v>80</v>
      </c>
      <c r="G99" t="s">
        <v>88</v>
      </c>
      <c r="H99" t="s">
        <v>83</v>
      </c>
      <c r="I99">
        <v>53</v>
      </c>
      <c r="J99">
        <v>95400000</v>
      </c>
      <c r="K99">
        <v>30</v>
      </c>
      <c r="L99" s="1">
        <v>46006</v>
      </c>
      <c r="M99" t="b">
        <v>0</v>
      </c>
      <c r="N99" t="b">
        <v>0</v>
      </c>
      <c r="O99" t="b">
        <v>0</v>
      </c>
      <c r="P99">
        <v>0</v>
      </c>
      <c r="Q99" t="b">
        <v>0</v>
      </c>
      <c r="R99">
        <v>0</v>
      </c>
      <c r="S99">
        <v>0</v>
      </c>
      <c r="T99">
        <v>0</v>
      </c>
    </row>
    <row r="100" spans="1:20" x14ac:dyDescent="0.3">
      <c r="A100" t="s">
        <v>136</v>
      </c>
      <c r="B100" t="s">
        <v>137</v>
      </c>
      <c r="C100" t="s">
        <v>139</v>
      </c>
      <c r="D100" t="s">
        <v>129</v>
      </c>
      <c r="E100" t="s">
        <v>56</v>
      </c>
      <c r="F100" t="s">
        <v>50</v>
      </c>
      <c r="G100" t="s">
        <v>61</v>
      </c>
      <c r="H100" t="s">
        <v>54</v>
      </c>
      <c r="I100">
        <v>108</v>
      </c>
      <c r="J100">
        <v>194400000</v>
      </c>
      <c r="K100">
        <v>30</v>
      </c>
      <c r="L100" s="1">
        <v>46111</v>
      </c>
      <c r="M100" t="b">
        <v>0</v>
      </c>
      <c r="N100" t="b">
        <v>0</v>
      </c>
      <c r="O100" t="b">
        <v>0</v>
      </c>
      <c r="P100">
        <v>0</v>
      </c>
      <c r="Q100" t="b">
        <v>0</v>
      </c>
      <c r="R100">
        <v>0</v>
      </c>
      <c r="S100">
        <v>0</v>
      </c>
      <c r="T100">
        <v>0</v>
      </c>
    </row>
    <row r="101" spans="1:20" x14ac:dyDescent="0.3">
      <c r="A101" t="s">
        <v>136</v>
      </c>
      <c r="B101" t="s">
        <v>137</v>
      </c>
      <c r="C101" t="s">
        <v>139</v>
      </c>
      <c r="D101" t="s">
        <v>129</v>
      </c>
      <c r="E101" t="s">
        <v>56</v>
      </c>
      <c r="F101" t="s">
        <v>66</v>
      </c>
      <c r="G101" t="s">
        <v>74</v>
      </c>
      <c r="H101" t="s">
        <v>75</v>
      </c>
      <c r="I101">
        <v>69</v>
      </c>
      <c r="J101">
        <v>124200000</v>
      </c>
      <c r="K101">
        <v>10</v>
      </c>
      <c r="L101" s="1">
        <v>45966</v>
      </c>
      <c r="M101" t="b">
        <v>0</v>
      </c>
      <c r="N101" t="b">
        <v>0</v>
      </c>
      <c r="O101" t="b">
        <v>0</v>
      </c>
      <c r="P101">
        <v>0</v>
      </c>
      <c r="Q101" t="b">
        <v>0</v>
      </c>
      <c r="R101">
        <v>0</v>
      </c>
      <c r="S101">
        <v>0</v>
      </c>
      <c r="T101">
        <v>0</v>
      </c>
    </row>
    <row r="102" spans="1:20" x14ac:dyDescent="0.3">
      <c r="A102" t="s">
        <v>259</v>
      </c>
      <c r="B102" t="s">
        <v>260</v>
      </c>
      <c r="C102" t="s">
        <v>102</v>
      </c>
      <c r="D102" t="s">
        <v>129</v>
      </c>
      <c r="E102" t="s">
        <v>56</v>
      </c>
      <c r="F102" t="s">
        <v>114</v>
      </c>
      <c r="G102" t="s">
        <v>117</v>
      </c>
      <c r="H102" t="s">
        <v>83</v>
      </c>
      <c r="I102">
        <v>31</v>
      </c>
      <c r="J102">
        <v>3720000</v>
      </c>
      <c r="K102">
        <v>20</v>
      </c>
      <c r="L102" s="1">
        <v>46043</v>
      </c>
      <c r="M102" t="b">
        <v>0</v>
      </c>
      <c r="N102" t="b">
        <v>0</v>
      </c>
      <c r="O102" t="b">
        <v>0</v>
      </c>
      <c r="P102">
        <v>0</v>
      </c>
      <c r="Q102" t="b">
        <v>0</v>
      </c>
      <c r="R102">
        <v>0</v>
      </c>
      <c r="S102">
        <v>0</v>
      </c>
      <c r="T102">
        <v>0</v>
      </c>
    </row>
    <row r="103" spans="1:20" x14ac:dyDescent="0.3">
      <c r="A103" t="s">
        <v>259</v>
      </c>
      <c r="B103" t="s">
        <v>260</v>
      </c>
      <c r="C103" t="s">
        <v>102</v>
      </c>
      <c r="D103" t="s">
        <v>129</v>
      </c>
      <c r="E103" t="s">
        <v>56</v>
      </c>
      <c r="F103" t="s">
        <v>80</v>
      </c>
      <c r="G103" t="s">
        <v>88</v>
      </c>
      <c r="H103" t="s">
        <v>83</v>
      </c>
      <c r="I103">
        <v>66</v>
      </c>
      <c r="J103">
        <v>7920000</v>
      </c>
      <c r="K103">
        <v>30</v>
      </c>
      <c r="L103" s="1">
        <v>46152</v>
      </c>
      <c r="M103" t="b">
        <v>0</v>
      </c>
      <c r="N103" t="b">
        <v>0</v>
      </c>
      <c r="O103" t="b">
        <v>0</v>
      </c>
      <c r="P103">
        <v>0</v>
      </c>
      <c r="Q103" t="b">
        <v>0</v>
      </c>
      <c r="R103">
        <v>0</v>
      </c>
      <c r="S103">
        <v>0</v>
      </c>
      <c r="T103">
        <v>0</v>
      </c>
    </row>
    <row r="104" spans="1:20" x14ac:dyDescent="0.3">
      <c r="A104" t="s">
        <v>259</v>
      </c>
      <c r="B104" t="s">
        <v>260</v>
      </c>
      <c r="C104" t="s">
        <v>102</v>
      </c>
      <c r="D104" t="s">
        <v>129</v>
      </c>
      <c r="E104" t="s">
        <v>56</v>
      </c>
      <c r="F104" t="s">
        <v>50</v>
      </c>
      <c r="G104" t="s">
        <v>61</v>
      </c>
      <c r="H104" t="s">
        <v>54</v>
      </c>
      <c r="I104">
        <v>0</v>
      </c>
      <c r="J104">
        <v>0</v>
      </c>
      <c r="K104">
        <v>10</v>
      </c>
      <c r="L104" s="1">
        <v>45976</v>
      </c>
      <c r="M104" t="b">
        <v>1</v>
      </c>
      <c r="N104" t="b">
        <v>0</v>
      </c>
      <c r="O104" t="b">
        <v>0</v>
      </c>
      <c r="P104">
        <v>0</v>
      </c>
      <c r="Q104" t="b">
        <v>0</v>
      </c>
      <c r="R104">
        <v>0</v>
      </c>
      <c r="S104">
        <v>1</v>
      </c>
      <c r="T104">
        <v>0</v>
      </c>
    </row>
    <row r="105" spans="1:20" x14ac:dyDescent="0.3">
      <c r="A105" t="s">
        <v>259</v>
      </c>
      <c r="B105" t="s">
        <v>260</v>
      </c>
      <c r="C105" t="s">
        <v>102</v>
      </c>
      <c r="D105" t="s">
        <v>129</v>
      </c>
      <c r="E105" t="s">
        <v>56</v>
      </c>
      <c r="F105" t="s">
        <v>66</v>
      </c>
      <c r="G105" t="s">
        <v>74</v>
      </c>
      <c r="H105" t="s">
        <v>75</v>
      </c>
      <c r="I105">
        <v>24</v>
      </c>
      <c r="J105">
        <v>2880000</v>
      </c>
      <c r="K105">
        <v>10</v>
      </c>
      <c r="L105" s="1">
        <v>46036</v>
      </c>
      <c r="M105" t="b">
        <v>0</v>
      </c>
      <c r="N105" t="b">
        <v>0</v>
      </c>
      <c r="O105" t="b">
        <v>0</v>
      </c>
      <c r="P105">
        <v>0</v>
      </c>
      <c r="Q105" t="b">
        <v>0</v>
      </c>
      <c r="R105">
        <v>0</v>
      </c>
      <c r="S105">
        <v>0</v>
      </c>
      <c r="T105">
        <v>0</v>
      </c>
    </row>
    <row r="106" spans="1:20" x14ac:dyDescent="0.3">
      <c r="A106" t="s">
        <v>167</v>
      </c>
      <c r="B106" t="s">
        <v>169</v>
      </c>
      <c r="C106" t="s">
        <v>110</v>
      </c>
      <c r="D106" t="s">
        <v>60</v>
      </c>
      <c r="E106" t="s">
        <v>56</v>
      </c>
      <c r="F106" t="s">
        <v>114</v>
      </c>
      <c r="G106" t="s">
        <v>117</v>
      </c>
      <c r="H106" t="s">
        <v>83</v>
      </c>
      <c r="I106">
        <v>120</v>
      </c>
      <c r="J106">
        <v>108000000</v>
      </c>
      <c r="K106">
        <v>20</v>
      </c>
      <c r="L106" s="1">
        <v>46166</v>
      </c>
      <c r="M106" t="b">
        <v>0</v>
      </c>
      <c r="N106" t="b">
        <v>0</v>
      </c>
      <c r="O106" t="b">
        <v>1</v>
      </c>
      <c r="P106">
        <v>108000000</v>
      </c>
      <c r="Q106" t="b">
        <v>0</v>
      </c>
      <c r="R106">
        <v>0</v>
      </c>
      <c r="S106">
        <v>0</v>
      </c>
      <c r="T106">
        <v>0</v>
      </c>
    </row>
    <row r="107" spans="1:20" x14ac:dyDescent="0.3">
      <c r="A107" t="s">
        <v>167</v>
      </c>
      <c r="B107" t="s">
        <v>169</v>
      </c>
      <c r="C107" t="s">
        <v>110</v>
      </c>
      <c r="D107" t="s">
        <v>60</v>
      </c>
      <c r="E107" t="s">
        <v>56</v>
      </c>
      <c r="F107" t="s">
        <v>80</v>
      </c>
      <c r="G107" t="s">
        <v>88</v>
      </c>
      <c r="H107" t="s">
        <v>83</v>
      </c>
      <c r="I107">
        <v>75</v>
      </c>
      <c r="J107">
        <v>67500000</v>
      </c>
      <c r="K107">
        <v>20</v>
      </c>
      <c r="L107" s="1">
        <v>46138</v>
      </c>
      <c r="M107" t="b">
        <v>0</v>
      </c>
      <c r="N107" t="b">
        <v>0</v>
      </c>
      <c r="O107" t="b">
        <v>1</v>
      </c>
      <c r="P107">
        <v>67500000</v>
      </c>
      <c r="Q107" t="b">
        <v>0</v>
      </c>
      <c r="R107">
        <v>0</v>
      </c>
      <c r="S107">
        <v>0</v>
      </c>
      <c r="T107">
        <v>0</v>
      </c>
    </row>
    <row r="108" spans="1:20" x14ac:dyDescent="0.3">
      <c r="A108" t="s">
        <v>167</v>
      </c>
      <c r="B108" t="s">
        <v>169</v>
      </c>
      <c r="C108" t="s">
        <v>110</v>
      </c>
      <c r="D108" t="s">
        <v>60</v>
      </c>
      <c r="E108" t="s">
        <v>56</v>
      </c>
      <c r="F108" t="s">
        <v>50</v>
      </c>
      <c r="G108" t="s">
        <v>61</v>
      </c>
      <c r="H108" t="s">
        <v>54</v>
      </c>
      <c r="I108">
        <v>54</v>
      </c>
      <c r="J108">
        <v>48600000</v>
      </c>
      <c r="K108">
        <v>50</v>
      </c>
      <c r="L108" s="1">
        <v>46119</v>
      </c>
      <c r="M108" t="b">
        <v>0</v>
      </c>
      <c r="N108" t="b">
        <v>0</v>
      </c>
      <c r="O108" t="b">
        <v>1</v>
      </c>
      <c r="P108">
        <v>48600000</v>
      </c>
      <c r="Q108" t="b">
        <v>0</v>
      </c>
      <c r="R108">
        <v>0</v>
      </c>
      <c r="S108">
        <v>0</v>
      </c>
      <c r="T108">
        <v>0</v>
      </c>
    </row>
    <row r="109" spans="1:20" x14ac:dyDescent="0.3">
      <c r="A109" t="s">
        <v>167</v>
      </c>
      <c r="B109" t="s">
        <v>169</v>
      </c>
      <c r="C109" t="s">
        <v>110</v>
      </c>
      <c r="D109" t="s">
        <v>60</v>
      </c>
      <c r="E109" t="s">
        <v>56</v>
      </c>
      <c r="F109" t="s">
        <v>66</v>
      </c>
      <c r="G109" t="s">
        <v>74</v>
      </c>
      <c r="H109" t="s">
        <v>75</v>
      </c>
      <c r="I109">
        <v>25</v>
      </c>
      <c r="J109">
        <v>22500000</v>
      </c>
      <c r="K109">
        <v>20</v>
      </c>
      <c r="L109" s="1">
        <v>46090</v>
      </c>
      <c r="M109" t="b">
        <v>0</v>
      </c>
      <c r="N109" t="b">
        <v>0</v>
      </c>
      <c r="O109" t="b">
        <v>1</v>
      </c>
      <c r="P109">
        <v>22500000</v>
      </c>
      <c r="Q109" t="b">
        <v>0</v>
      </c>
      <c r="R109">
        <v>0</v>
      </c>
      <c r="S109">
        <v>0</v>
      </c>
      <c r="T109">
        <v>0</v>
      </c>
    </row>
    <row r="110" spans="1:20" x14ac:dyDescent="0.3">
      <c r="A110" t="s">
        <v>126</v>
      </c>
      <c r="B110" t="s">
        <v>128</v>
      </c>
      <c r="C110" t="s">
        <v>59</v>
      </c>
      <c r="D110" t="s">
        <v>129</v>
      </c>
      <c r="E110" t="s">
        <v>56</v>
      </c>
      <c r="F110" t="s">
        <v>114</v>
      </c>
      <c r="G110" t="s">
        <v>117</v>
      </c>
      <c r="H110" t="s">
        <v>83</v>
      </c>
      <c r="I110">
        <v>31</v>
      </c>
      <c r="J110">
        <v>20150000</v>
      </c>
      <c r="K110">
        <v>30</v>
      </c>
      <c r="L110" s="1">
        <v>46125</v>
      </c>
      <c r="M110" t="b">
        <v>0</v>
      </c>
      <c r="N110" t="b">
        <v>0</v>
      </c>
      <c r="O110" t="b">
        <v>0</v>
      </c>
      <c r="P110">
        <v>0</v>
      </c>
      <c r="Q110" t="b">
        <v>0</v>
      </c>
      <c r="R110">
        <v>0</v>
      </c>
      <c r="S110">
        <v>0</v>
      </c>
      <c r="T110">
        <v>0</v>
      </c>
    </row>
    <row r="111" spans="1:20" x14ac:dyDescent="0.3">
      <c r="A111" t="s">
        <v>126</v>
      </c>
      <c r="B111" t="s">
        <v>128</v>
      </c>
      <c r="C111" t="s">
        <v>59</v>
      </c>
      <c r="D111" t="s">
        <v>129</v>
      </c>
      <c r="E111" t="s">
        <v>56</v>
      </c>
      <c r="F111" t="s">
        <v>80</v>
      </c>
      <c r="G111" t="s">
        <v>88</v>
      </c>
      <c r="H111" t="s">
        <v>83</v>
      </c>
      <c r="I111">
        <v>81</v>
      </c>
      <c r="J111">
        <v>52650000</v>
      </c>
      <c r="K111">
        <v>20</v>
      </c>
      <c r="L111" s="1">
        <v>46129</v>
      </c>
      <c r="M111" t="b">
        <v>0</v>
      </c>
      <c r="N111" t="b">
        <v>0</v>
      </c>
      <c r="O111" t="b">
        <v>0</v>
      </c>
      <c r="P111">
        <v>0</v>
      </c>
      <c r="Q111" t="b">
        <v>0</v>
      </c>
      <c r="R111">
        <v>0</v>
      </c>
      <c r="S111">
        <v>0</v>
      </c>
      <c r="T111">
        <v>0</v>
      </c>
    </row>
    <row r="112" spans="1:20" x14ac:dyDescent="0.3">
      <c r="A112" t="s">
        <v>126</v>
      </c>
      <c r="B112" t="s">
        <v>128</v>
      </c>
      <c r="C112" t="s">
        <v>59</v>
      </c>
      <c r="D112" t="s">
        <v>129</v>
      </c>
      <c r="E112" t="s">
        <v>56</v>
      </c>
      <c r="F112" t="s">
        <v>50</v>
      </c>
      <c r="G112" t="s">
        <v>61</v>
      </c>
      <c r="H112" t="s">
        <v>54</v>
      </c>
      <c r="I112">
        <v>61</v>
      </c>
      <c r="J112">
        <v>39650000</v>
      </c>
      <c r="K112">
        <v>10</v>
      </c>
      <c r="L112" s="1">
        <v>46106</v>
      </c>
      <c r="M112" t="b">
        <v>0</v>
      </c>
      <c r="N112" t="b">
        <v>0</v>
      </c>
      <c r="O112" t="b">
        <v>0</v>
      </c>
      <c r="P112">
        <v>0</v>
      </c>
      <c r="Q112" t="b">
        <v>0</v>
      </c>
      <c r="R112">
        <v>0</v>
      </c>
      <c r="S112">
        <v>0</v>
      </c>
      <c r="T112">
        <v>0</v>
      </c>
    </row>
    <row r="113" spans="1:20" x14ac:dyDescent="0.3">
      <c r="A113" t="s">
        <v>126</v>
      </c>
      <c r="B113" t="s">
        <v>128</v>
      </c>
      <c r="C113" t="s">
        <v>59</v>
      </c>
      <c r="D113" t="s">
        <v>129</v>
      </c>
      <c r="E113" t="s">
        <v>56</v>
      </c>
      <c r="F113" t="s">
        <v>66</v>
      </c>
      <c r="G113" t="s">
        <v>74</v>
      </c>
      <c r="H113" t="s">
        <v>75</v>
      </c>
      <c r="I113">
        <v>21</v>
      </c>
      <c r="J113">
        <v>13650000</v>
      </c>
      <c r="K113">
        <v>50</v>
      </c>
      <c r="L113" s="1">
        <v>46086</v>
      </c>
      <c r="M113" t="b">
        <v>1</v>
      </c>
      <c r="N113" t="b">
        <v>0</v>
      </c>
      <c r="O113" t="b">
        <v>0</v>
      </c>
      <c r="P113">
        <v>0</v>
      </c>
      <c r="Q113" t="b">
        <v>0</v>
      </c>
      <c r="R113">
        <v>0</v>
      </c>
      <c r="S113">
        <v>1</v>
      </c>
      <c r="T113">
        <v>0</v>
      </c>
    </row>
    <row r="114" spans="1:20" x14ac:dyDescent="0.3">
      <c r="A114" t="s">
        <v>160</v>
      </c>
      <c r="B114" t="s">
        <v>161</v>
      </c>
      <c r="C114" t="s">
        <v>87</v>
      </c>
      <c r="D114" t="s">
        <v>60</v>
      </c>
      <c r="E114" t="s">
        <v>56</v>
      </c>
      <c r="F114" t="s">
        <v>114</v>
      </c>
      <c r="G114" t="s">
        <v>117</v>
      </c>
      <c r="H114" t="s">
        <v>83</v>
      </c>
      <c r="I114">
        <v>78</v>
      </c>
      <c r="J114">
        <v>70200000</v>
      </c>
      <c r="K114">
        <v>50</v>
      </c>
      <c r="L114" s="1">
        <v>46004</v>
      </c>
      <c r="M114" t="b">
        <v>0</v>
      </c>
      <c r="N114" t="b">
        <v>0</v>
      </c>
      <c r="O114" t="b">
        <v>0</v>
      </c>
      <c r="P114">
        <v>0</v>
      </c>
      <c r="Q114" t="b">
        <v>0</v>
      </c>
      <c r="R114">
        <v>0</v>
      </c>
      <c r="S114">
        <v>0</v>
      </c>
      <c r="T114">
        <v>0</v>
      </c>
    </row>
    <row r="115" spans="1:20" x14ac:dyDescent="0.3">
      <c r="A115" t="s">
        <v>160</v>
      </c>
      <c r="B115" t="s">
        <v>161</v>
      </c>
      <c r="C115" t="s">
        <v>87</v>
      </c>
      <c r="D115" t="s">
        <v>60</v>
      </c>
      <c r="E115" t="s">
        <v>56</v>
      </c>
      <c r="F115" t="s">
        <v>80</v>
      </c>
      <c r="G115" t="s">
        <v>88</v>
      </c>
      <c r="H115" t="s">
        <v>83</v>
      </c>
      <c r="I115">
        <v>101</v>
      </c>
      <c r="J115">
        <v>90900000</v>
      </c>
      <c r="K115">
        <v>50</v>
      </c>
      <c r="L115" s="1">
        <v>46193</v>
      </c>
      <c r="M115" t="b">
        <v>0</v>
      </c>
      <c r="N115" t="b">
        <v>0</v>
      </c>
      <c r="O115" t="b">
        <v>0</v>
      </c>
      <c r="P115">
        <v>0</v>
      </c>
      <c r="Q115" t="b">
        <v>0</v>
      </c>
      <c r="R115">
        <v>0</v>
      </c>
      <c r="S115">
        <v>0</v>
      </c>
      <c r="T115">
        <v>0</v>
      </c>
    </row>
    <row r="116" spans="1:20" x14ac:dyDescent="0.3">
      <c r="A116" t="s">
        <v>160</v>
      </c>
      <c r="B116" t="s">
        <v>161</v>
      </c>
      <c r="C116" t="s">
        <v>87</v>
      </c>
      <c r="D116" t="s">
        <v>60</v>
      </c>
      <c r="E116" t="s">
        <v>56</v>
      </c>
      <c r="F116" t="s">
        <v>50</v>
      </c>
      <c r="G116" t="s">
        <v>61</v>
      </c>
      <c r="H116" t="s">
        <v>54</v>
      </c>
      <c r="I116">
        <v>54</v>
      </c>
      <c r="J116">
        <v>48600000</v>
      </c>
      <c r="K116">
        <v>10</v>
      </c>
      <c r="L116" s="1">
        <v>46004</v>
      </c>
      <c r="M116" t="b">
        <v>0</v>
      </c>
      <c r="N116" t="b">
        <v>0</v>
      </c>
      <c r="O116" t="b">
        <v>0</v>
      </c>
      <c r="P116">
        <v>0</v>
      </c>
      <c r="Q116" t="b">
        <v>0</v>
      </c>
      <c r="R116">
        <v>0</v>
      </c>
      <c r="S116">
        <v>0</v>
      </c>
      <c r="T116">
        <v>0</v>
      </c>
    </row>
    <row r="117" spans="1:20" x14ac:dyDescent="0.3">
      <c r="A117" t="s">
        <v>160</v>
      </c>
      <c r="B117" t="s">
        <v>161</v>
      </c>
      <c r="C117" t="s">
        <v>87</v>
      </c>
      <c r="D117" t="s">
        <v>60</v>
      </c>
      <c r="E117" t="s">
        <v>56</v>
      </c>
      <c r="F117" t="s">
        <v>66</v>
      </c>
      <c r="G117" t="s">
        <v>74</v>
      </c>
      <c r="H117" t="s">
        <v>75</v>
      </c>
      <c r="I117">
        <v>38</v>
      </c>
      <c r="J117">
        <v>34200000</v>
      </c>
      <c r="K117">
        <v>20</v>
      </c>
      <c r="L117" s="1">
        <v>46057</v>
      </c>
      <c r="M117" t="b">
        <v>0</v>
      </c>
      <c r="N117" t="b">
        <v>0</v>
      </c>
      <c r="O117" t="b">
        <v>0</v>
      </c>
      <c r="P117">
        <v>0</v>
      </c>
      <c r="Q117" t="b">
        <v>0</v>
      </c>
      <c r="R117">
        <v>0</v>
      </c>
      <c r="S117">
        <v>0</v>
      </c>
      <c r="T117">
        <v>0</v>
      </c>
    </row>
    <row r="118" spans="1:20" x14ac:dyDescent="0.3">
      <c r="A118" t="s">
        <v>206</v>
      </c>
      <c r="B118" t="s">
        <v>207</v>
      </c>
      <c r="C118" t="s">
        <v>72</v>
      </c>
      <c r="D118" t="s">
        <v>73</v>
      </c>
      <c r="E118" t="s">
        <v>56</v>
      </c>
      <c r="F118" t="s">
        <v>114</v>
      </c>
      <c r="G118" t="s">
        <v>117</v>
      </c>
      <c r="H118" t="s">
        <v>83</v>
      </c>
      <c r="I118">
        <v>32</v>
      </c>
      <c r="J118">
        <v>15360000</v>
      </c>
      <c r="K118">
        <v>50</v>
      </c>
      <c r="L118" s="1">
        <v>46080</v>
      </c>
      <c r="M118" t="b">
        <v>1</v>
      </c>
      <c r="N118" t="b">
        <v>0</v>
      </c>
      <c r="O118" t="b">
        <v>0</v>
      </c>
      <c r="P118">
        <v>0</v>
      </c>
      <c r="Q118" t="b">
        <v>0</v>
      </c>
      <c r="R118">
        <v>0</v>
      </c>
      <c r="S118">
        <v>1</v>
      </c>
      <c r="T118">
        <v>0</v>
      </c>
    </row>
    <row r="119" spans="1:20" x14ac:dyDescent="0.3">
      <c r="A119" t="s">
        <v>206</v>
      </c>
      <c r="B119" t="s">
        <v>207</v>
      </c>
      <c r="C119" t="s">
        <v>72</v>
      </c>
      <c r="D119" t="s">
        <v>73</v>
      </c>
      <c r="E119" t="s">
        <v>56</v>
      </c>
      <c r="F119" t="s">
        <v>80</v>
      </c>
      <c r="G119" t="s">
        <v>88</v>
      </c>
      <c r="H119" t="s">
        <v>83</v>
      </c>
      <c r="I119">
        <v>36</v>
      </c>
      <c r="J119">
        <v>17280000</v>
      </c>
      <c r="K119">
        <v>50</v>
      </c>
      <c r="L119" s="1">
        <v>46055</v>
      </c>
      <c r="M119" t="b">
        <v>1</v>
      </c>
      <c r="N119" t="b">
        <v>0</v>
      </c>
      <c r="O119" t="b">
        <v>0</v>
      </c>
      <c r="P119">
        <v>0</v>
      </c>
      <c r="Q119" t="b">
        <v>0</v>
      </c>
      <c r="R119">
        <v>0</v>
      </c>
      <c r="S119">
        <v>1</v>
      </c>
      <c r="T119">
        <v>0</v>
      </c>
    </row>
    <row r="120" spans="1:20" x14ac:dyDescent="0.3">
      <c r="A120" t="s">
        <v>206</v>
      </c>
      <c r="B120" t="s">
        <v>207</v>
      </c>
      <c r="C120" t="s">
        <v>72</v>
      </c>
      <c r="D120" t="s">
        <v>73</v>
      </c>
      <c r="E120" t="s">
        <v>56</v>
      </c>
      <c r="F120" t="s">
        <v>50</v>
      </c>
      <c r="G120" t="s">
        <v>61</v>
      </c>
      <c r="H120" t="s">
        <v>54</v>
      </c>
      <c r="I120">
        <v>9</v>
      </c>
      <c r="J120">
        <v>4320000</v>
      </c>
      <c r="K120">
        <v>30</v>
      </c>
      <c r="L120" s="1">
        <v>46164</v>
      </c>
      <c r="M120" t="b">
        <v>1</v>
      </c>
      <c r="N120" t="b">
        <v>0</v>
      </c>
      <c r="O120" t="b">
        <v>0</v>
      </c>
      <c r="P120">
        <v>0</v>
      </c>
      <c r="Q120" t="b">
        <v>0</v>
      </c>
      <c r="R120">
        <v>0</v>
      </c>
      <c r="S120">
        <v>1</v>
      </c>
      <c r="T120">
        <v>0</v>
      </c>
    </row>
    <row r="121" spans="1:20" x14ac:dyDescent="0.3">
      <c r="A121" t="s">
        <v>206</v>
      </c>
      <c r="B121" t="s">
        <v>207</v>
      </c>
      <c r="C121" t="s">
        <v>72</v>
      </c>
      <c r="D121" t="s">
        <v>73</v>
      </c>
      <c r="E121" t="s">
        <v>56</v>
      </c>
      <c r="F121" t="s">
        <v>66</v>
      </c>
      <c r="G121" t="s">
        <v>74</v>
      </c>
      <c r="H121" t="s">
        <v>75</v>
      </c>
      <c r="I121">
        <v>25</v>
      </c>
      <c r="J121">
        <v>12000000</v>
      </c>
      <c r="K121">
        <v>20</v>
      </c>
      <c r="L121" s="1">
        <v>45964</v>
      </c>
      <c r="M121" t="b">
        <v>0</v>
      </c>
      <c r="N121" t="b">
        <v>0</v>
      </c>
      <c r="O121" t="b">
        <v>0</v>
      </c>
      <c r="P121">
        <v>0</v>
      </c>
      <c r="Q121" t="b">
        <v>0</v>
      </c>
      <c r="R121">
        <v>0</v>
      </c>
      <c r="S121">
        <v>0</v>
      </c>
      <c r="T121">
        <v>0</v>
      </c>
    </row>
    <row r="122" spans="1:20" x14ac:dyDescent="0.3">
      <c r="A122" t="s">
        <v>273</v>
      </c>
      <c r="B122" t="s">
        <v>274</v>
      </c>
      <c r="C122" t="s">
        <v>139</v>
      </c>
      <c r="D122" t="s">
        <v>73</v>
      </c>
      <c r="E122" t="s">
        <v>56</v>
      </c>
      <c r="F122" t="s">
        <v>114</v>
      </c>
      <c r="G122" t="s">
        <v>117</v>
      </c>
      <c r="H122" t="s">
        <v>83</v>
      </c>
      <c r="I122">
        <v>1</v>
      </c>
      <c r="J122">
        <v>1800000</v>
      </c>
      <c r="K122">
        <v>30</v>
      </c>
      <c r="L122" s="1">
        <v>46073</v>
      </c>
      <c r="M122" t="b">
        <v>1</v>
      </c>
      <c r="N122" t="b">
        <v>0</v>
      </c>
      <c r="O122" t="b">
        <v>0</v>
      </c>
      <c r="P122">
        <v>0</v>
      </c>
      <c r="Q122" t="b">
        <v>0</v>
      </c>
      <c r="R122">
        <v>0</v>
      </c>
      <c r="S122">
        <v>1</v>
      </c>
      <c r="T122">
        <v>0</v>
      </c>
    </row>
    <row r="123" spans="1:20" x14ac:dyDescent="0.3">
      <c r="A123" t="s">
        <v>273</v>
      </c>
      <c r="B123" t="s">
        <v>274</v>
      </c>
      <c r="C123" t="s">
        <v>139</v>
      </c>
      <c r="D123" t="s">
        <v>73</v>
      </c>
      <c r="E123" t="s">
        <v>56</v>
      </c>
      <c r="F123" t="s">
        <v>80</v>
      </c>
      <c r="G123" t="s">
        <v>88</v>
      </c>
      <c r="H123" t="s">
        <v>83</v>
      </c>
      <c r="I123">
        <v>53</v>
      </c>
      <c r="J123">
        <v>95400000</v>
      </c>
      <c r="K123">
        <v>50</v>
      </c>
      <c r="L123" s="1">
        <v>46008</v>
      </c>
      <c r="M123" t="b">
        <v>0</v>
      </c>
      <c r="N123" t="b">
        <v>0</v>
      </c>
      <c r="O123" t="b">
        <v>0</v>
      </c>
      <c r="P123">
        <v>0</v>
      </c>
      <c r="Q123" t="b">
        <v>0</v>
      </c>
      <c r="R123">
        <v>0</v>
      </c>
      <c r="S123">
        <v>0</v>
      </c>
      <c r="T123">
        <v>0</v>
      </c>
    </row>
    <row r="124" spans="1:20" x14ac:dyDescent="0.3">
      <c r="A124" t="s">
        <v>273</v>
      </c>
      <c r="B124" t="s">
        <v>274</v>
      </c>
      <c r="C124" t="s">
        <v>139</v>
      </c>
      <c r="D124" t="s">
        <v>73</v>
      </c>
      <c r="E124" t="s">
        <v>56</v>
      </c>
      <c r="F124" t="s">
        <v>50</v>
      </c>
      <c r="G124" t="s">
        <v>61</v>
      </c>
      <c r="H124" t="s">
        <v>54</v>
      </c>
      <c r="I124">
        <v>62</v>
      </c>
      <c r="J124">
        <v>111600000</v>
      </c>
      <c r="K124">
        <v>30</v>
      </c>
      <c r="L124" s="1">
        <v>46034</v>
      </c>
      <c r="M124" t="b">
        <v>0</v>
      </c>
      <c r="N124" t="b">
        <v>0</v>
      </c>
      <c r="O124" t="b">
        <v>0</v>
      </c>
      <c r="P124">
        <v>0</v>
      </c>
      <c r="Q124" t="b">
        <v>0</v>
      </c>
      <c r="R124">
        <v>0</v>
      </c>
      <c r="S124">
        <v>0</v>
      </c>
      <c r="T124">
        <v>0</v>
      </c>
    </row>
    <row r="125" spans="1:20" x14ac:dyDescent="0.3">
      <c r="A125" t="s">
        <v>273</v>
      </c>
      <c r="B125" t="s">
        <v>274</v>
      </c>
      <c r="C125" t="s">
        <v>139</v>
      </c>
      <c r="D125" t="s">
        <v>73</v>
      </c>
      <c r="E125" t="s">
        <v>56</v>
      </c>
      <c r="F125" t="s">
        <v>66</v>
      </c>
      <c r="G125" t="s">
        <v>74</v>
      </c>
      <c r="H125" t="s">
        <v>75</v>
      </c>
      <c r="I125">
        <v>9</v>
      </c>
      <c r="J125">
        <v>16200000</v>
      </c>
      <c r="K125">
        <v>50</v>
      </c>
      <c r="L125" s="1">
        <v>45972</v>
      </c>
      <c r="M125" t="b">
        <v>1</v>
      </c>
      <c r="N125" t="b">
        <v>0</v>
      </c>
      <c r="O125" t="b">
        <v>0</v>
      </c>
      <c r="P125">
        <v>0</v>
      </c>
      <c r="Q125" t="b">
        <v>0</v>
      </c>
      <c r="R125">
        <v>0</v>
      </c>
      <c r="S125">
        <v>1</v>
      </c>
      <c r="T125">
        <v>0</v>
      </c>
    </row>
    <row r="126" spans="1:20" x14ac:dyDescent="0.3">
      <c r="A126" t="s">
        <v>175</v>
      </c>
      <c r="B126" t="s">
        <v>177</v>
      </c>
      <c r="C126" t="s">
        <v>102</v>
      </c>
      <c r="D126" t="s">
        <v>129</v>
      </c>
      <c r="E126" t="s">
        <v>56</v>
      </c>
      <c r="F126" t="s">
        <v>114</v>
      </c>
      <c r="G126" t="s">
        <v>117</v>
      </c>
      <c r="H126" t="s">
        <v>83</v>
      </c>
      <c r="I126">
        <v>117</v>
      </c>
      <c r="J126">
        <v>105300000</v>
      </c>
      <c r="K126">
        <v>10</v>
      </c>
      <c r="L126" s="1">
        <v>46100</v>
      </c>
      <c r="M126" t="b">
        <v>0</v>
      </c>
      <c r="N126" t="b">
        <v>0</v>
      </c>
      <c r="O126" t="b">
        <v>0</v>
      </c>
      <c r="P126">
        <v>0</v>
      </c>
      <c r="Q126" t="b">
        <v>0</v>
      </c>
      <c r="R126">
        <v>0</v>
      </c>
      <c r="S126">
        <v>0</v>
      </c>
      <c r="T126">
        <v>0</v>
      </c>
    </row>
    <row r="127" spans="1:20" x14ac:dyDescent="0.3">
      <c r="A127" t="s">
        <v>175</v>
      </c>
      <c r="B127" t="s">
        <v>177</v>
      </c>
      <c r="C127" t="s">
        <v>102</v>
      </c>
      <c r="D127" t="s">
        <v>129</v>
      </c>
      <c r="E127" t="s">
        <v>56</v>
      </c>
      <c r="F127" t="s">
        <v>80</v>
      </c>
      <c r="G127" t="s">
        <v>88</v>
      </c>
      <c r="H127" t="s">
        <v>83</v>
      </c>
      <c r="I127">
        <v>20</v>
      </c>
      <c r="J127">
        <v>18000000</v>
      </c>
      <c r="K127">
        <v>20</v>
      </c>
      <c r="L127" s="1">
        <v>46003</v>
      </c>
      <c r="M127" t="b">
        <v>0</v>
      </c>
      <c r="N127" t="b">
        <v>0</v>
      </c>
      <c r="O127" t="b">
        <v>0</v>
      </c>
      <c r="P127">
        <v>0</v>
      </c>
      <c r="Q127" t="b">
        <v>0</v>
      </c>
      <c r="R127">
        <v>0</v>
      </c>
      <c r="S127">
        <v>0</v>
      </c>
      <c r="T127">
        <v>0</v>
      </c>
    </row>
    <row r="128" spans="1:20" x14ac:dyDescent="0.3">
      <c r="A128" t="s">
        <v>175</v>
      </c>
      <c r="B128" t="s">
        <v>177</v>
      </c>
      <c r="C128" t="s">
        <v>102</v>
      </c>
      <c r="D128" t="s">
        <v>129</v>
      </c>
      <c r="E128" t="s">
        <v>56</v>
      </c>
      <c r="F128" t="s">
        <v>50</v>
      </c>
      <c r="G128" t="s">
        <v>61</v>
      </c>
      <c r="H128" t="s">
        <v>54</v>
      </c>
      <c r="I128">
        <v>32</v>
      </c>
      <c r="J128">
        <v>28800000</v>
      </c>
      <c r="K128">
        <v>30</v>
      </c>
      <c r="L128" s="1">
        <v>46068</v>
      </c>
      <c r="M128" t="b">
        <v>0</v>
      </c>
      <c r="N128" t="b">
        <v>0</v>
      </c>
      <c r="O128" t="b">
        <v>0</v>
      </c>
      <c r="P128">
        <v>0</v>
      </c>
      <c r="Q128" t="b">
        <v>0</v>
      </c>
      <c r="R128">
        <v>0</v>
      </c>
      <c r="S128">
        <v>0</v>
      </c>
      <c r="T128">
        <v>0</v>
      </c>
    </row>
    <row r="129" spans="1:20" x14ac:dyDescent="0.3">
      <c r="A129" t="s">
        <v>175</v>
      </c>
      <c r="B129" t="s">
        <v>177</v>
      </c>
      <c r="C129" t="s">
        <v>102</v>
      </c>
      <c r="D129" t="s">
        <v>129</v>
      </c>
      <c r="E129" t="s">
        <v>56</v>
      </c>
      <c r="F129" t="s">
        <v>66</v>
      </c>
      <c r="G129" t="s">
        <v>74</v>
      </c>
      <c r="H129" t="s">
        <v>75</v>
      </c>
      <c r="I129">
        <v>81</v>
      </c>
      <c r="J129">
        <v>72900000</v>
      </c>
      <c r="K129">
        <v>30</v>
      </c>
      <c r="L129" s="1">
        <v>46020</v>
      </c>
      <c r="M129" t="b">
        <v>0</v>
      </c>
      <c r="N129" t="b">
        <v>0</v>
      </c>
      <c r="O129" t="b">
        <v>0</v>
      </c>
      <c r="P129">
        <v>0</v>
      </c>
      <c r="Q129" t="b">
        <v>0</v>
      </c>
      <c r="R129">
        <v>0</v>
      </c>
      <c r="S129">
        <v>0</v>
      </c>
      <c r="T129">
        <v>0</v>
      </c>
    </row>
    <row r="130" spans="1:20" x14ac:dyDescent="0.3">
      <c r="A130" t="s">
        <v>142</v>
      </c>
      <c r="B130" t="s">
        <v>144</v>
      </c>
      <c r="C130" t="s">
        <v>110</v>
      </c>
      <c r="D130" t="s">
        <v>129</v>
      </c>
      <c r="E130" t="s">
        <v>56</v>
      </c>
      <c r="F130" t="s">
        <v>114</v>
      </c>
      <c r="G130" t="s">
        <v>117</v>
      </c>
      <c r="H130" t="s">
        <v>83</v>
      </c>
      <c r="I130">
        <v>49</v>
      </c>
      <c r="J130">
        <v>17150000</v>
      </c>
      <c r="K130">
        <v>50</v>
      </c>
      <c r="L130" s="1">
        <v>46010</v>
      </c>
      <c r="M130" t="b">
        <v>1</v>
      </c>
      <c r="N130" t="b">
        <v>0</v>
      </c>
      <c r="O130" t="b">
        <v>0</v>
      </c>
      <c r="P130">
        <v>0</v>
      </c>
      <c r="Q130" t="b">
        <v>0</v>
      </c>
      <c r="R130">
        <v>0</v>
      </c>
      <c r="S130">
        <v>1</v>
      </c>
      <c r="T130">
        <v>0</v>
      </c>
    </row>
    <row r="131" spans="1:20" x14ac:dyDescent="0.3">
      <c r="A131" t="s">
        <v>142</v>
      </c>
      <c r="B131" t="s">
        <v>144</v>
      </c>
      <c r="C131" t="s">
        <v>110</v>
      </c>
      <c r="D131" t="s">
        <v>129</v>
      </c>
      <c r="E131" t="s">
        <v>56</v>
      </c>
      <c r="F131" t="s">
        <v>80</v>
      </c>
      <c r="G131" t="s">
        <v>88</v>
      </c>
      <c r="H131" t="s">
        <v>83</v>
      </c>
      <c r="I131">
        <v>61</v>
      </c>
      <c r="J131">
        <v>21350000</v>
      </c>
      <c r="K131">
        <v>10</v>
      </c>
      <c r="L131" s="1">
        <v>45963</v>
      </c>
      <c r="M131" t="b">
        <v>0</v>
      </c>
      <c r="N131" t="b">
        <v>0</v>
      </c>
      <c r="O131" t="b">
        <v>0</v>
      </c>
      <c r="P131">
        <v>0</v>
      </c>
      <c r="Q131" t="b">
        <v>0</v>
      </c>
      <c r="R131">
        <v>0</v>
      </c>
      <c r="S131">
        <v>0</v>
      </c>
      <c r="T131">
        <v>0</v>
      </c>
    </row>
    <row r="132" spans="1:20" x14ac:dyDescent="0.3">
      <c r="A132" t="s">
        <v>142</v>
      </c>
      <c r="B132" t="s">
        <v>144</v>
      </c>
      <c r="C132" t="s">
        <v>110</v>
      </c>
      <c r="D132" t="s">
        <v>129</v>
      </c>
      <c r="E132" t="s">
        <v>56</v>
      </c>
      <c r="F132" t="s">
        <v>50</v>
      </c>
      <c r="G132" t="s">
        <v>61</v>
      </c>
      <c r="H132" t="s">
        <v>54</v>
      </c>
      <c r="I132">
        <v>80</v>
      </c>
      <c r="J132">
        <v>28000000</v>
      </c>
      <c r="K132">
        <v>10</v>
      </c>
      <c r="L132" s="1">
        <v>46020</v>
      </c>
      <c r="M132" t="b">
        <v>0</v>
      </c>
      <c r="N132" t="b">
        <v>0</v>
      </c>
      <c r="O132" t="b">
        <v>0</v>
      </c>
      <c r="P132">
        <v>0</v>
      </c>
      <c r="Q132" t="b">
        <v>0</v>
      </c>
      <c r="R132">
        <v>0</v>
      </c>
      <c r="S132">
        <v>0</v>
      </c>
      <c r="T132">
        <v>0</v>
      </c>
    </row>
    <row r="133" spans="1:20" x14ac:dyDescent="0.3">
      <c r="A133" t="s">
        <v>142</v>
      </c>
      <c r="B133" t="s">
        <v>144</v>
      </c>
      <c r="C133" t="s">
        <v>110</v>
      </c>
      <c r="D133" t="s">
        <v>129</v>
      </c>
      <c r="E133" t="s">
        <v>56</v>
      </c>
      <c r="F133" t="s">
        <v>66</v>
      </c>
      <c r="G133" t="s">
        <v>74</v>
      </c>
      <c r="H133" t="s">
        <v>75</v>
      </c>
      <c r="I133">
        <v>18</v>
      </c>
      <c r="J133">
        <v>6300000</v>
      </c>
      <c r="K133">
        <v>30</v>
      </c>
      <c r="L133" s="1">
        <v>46044</v>
      </c>
      <c r="M133" t="b">
        <v>1</v>
      </c>
      <c r="N133" t="b">
        <v>0</v>
      </c>
      <c r="O133" t="b">
        <v>0</v>
      </c>
      <c r="P133">
        <v>0</v>
      </c>
      <c r="Q133" t="b">
        <v>0</v>
      </c>
      <c r="R133">
        <v>0</v>
      </c>
      <c r="S133">
        <v>1</v>
      </c>
      <c r="T133">
        <v>0</v>
      </c>
    </row>
    <row r="134" spans="1:20" x14ac:dyDescent="0.3">
      <c r="A134" t="s">
        <v>210</v>
      </c>
      <c r="B134" t="s">
        <v>212</v>
      </c>
      <c r="C134" t="s">
        <v>59</v>
      </c>
      <c r="D134" t="s">
        <v>60</v>
      </c>
      <c r="E134" t="s">
        <v>56</v>
      </c>
      <c r="F134" t="s">
        <v>114</v>
      </c>
      <c r="G134" t="s">
        <v>117</v>
      </c>
      <c r="H134" t="s">
        <v>83</v>
      </c>
      <c r="I134">
        <v>87</v>
      </c>
      <c r="J134">
        <v>15660000</v>
      </c>
      <c r="K134">
        <v>20</v>
      </c>
      <c r="L134" s="1">
        <v>46133</v>
      </c>
      <c r="M134" t="b">
        <v>0</v>
      </c>
      <c r="N134" t="b">
        <v>0</v>
      </c>
      <c r="O134" t="b">
        <v>0</v>
      </c>
      <c r="P134">
        <v>0</v>
      </c>
      <c r="Q134" t="b">
        <v>0</v>
      </c>
      <c r="R134">
        <v>0</v>
      </c>
      <c r="S134">
        <v>0</v>
      </c>
      <c r="T134">
        <v>0</v>
      </c>
    </row>
    <row r="135" spans="1:20" x14ac:dyDescent="0.3">
      <c r="A135" t="s">
        <v>210</v>
      </c>
      <c r="B135" t="s">
        <v>212</v>
      </c>
      <c r="C135" t="s">
        <v>59</v>
      </c>
      <c r="D135" t="s">
        <v>60</v>
      </c>
      <c r="E135" t="s">
        <v>56</v>
      </c>
      <c r="F135" t="s">
        <v>80</v>
      </c>
      <c r="G135" t="s">
        <v>88</v>
      </c>
      <c r="H135" t="s">
        <v>83</v>
      </c>
      <c r="I135">
        <v>74</v>
      </c>
      <c r="J135">
        <v>13320000</v>
      </c>
      <c r="K135">
        <v>20</v>
      </c>
      <c r="L135" s="1">
        <v>46195</v>
      </c>
      <c r="M135" t="b">
        <v>0</v>
      </c>
      <c r="N135" t="b">
        <v>0</v>
      </c>
      <c r="O135" t="b">
        <v>0</v>
      </c>
      <c r="P135">
        <v>0</v>
      </c>
      <c r="Q135" t="b">
        <v>0</v>
      </c>
      <c r="R135">
        <v>0</v>
      </c>
      <c r="S135">
        <v>0</v>
      </c>
      <c r="T135">
        <v>0</v>
      </c>
    </row>
    <row r="136" spans="1:20" x14ac:dyDescent="0.3">
      <c r="A136" t="s">
        <v>210</v>
      </c>
      <c r="B136" t="s">
        <v>212</v>
      </c>
      <c r="C136" t="s">
        <v>59</v>
      </c>
      <c r="D136" t="s">
        <v>60</v>
      </c>
      <c r="E136" t="s">
        <v>56</v>
      </c>
      <c r="F136" t="s">
        <v>50</v>
      </c>
      <c r="G136" t="s">
        <v>61</v>
      </c>
      <c r="H136" t="s">
        <v>54</v>
      </c>
      <c r="I136">
        <v>11</v>
      </c>
      <c r="J136">
        <v>1980000</v>
      </c>
      <c r="K136">
        <v>50</v>
      </c>
      <c r="L136" s="1">
        <v>46097</v>
      </c>
      <c r="M136" t="b">
        <v>1</v>
      </c>
      <c r="N136" t="b">
        <v>0</v>
      </c>
      <c r="O136" t="b">
        <v>0</v>
      </c>
      <c r="P136">
        <v>0</v>
      </c>
      <c r="Q136" t="b">
        <v>0</v>
      </c>
      <c r="R136">
        <v>0</v>
      </c>
      <c r="S136">
        <v>1</v>
      </c>
      <c r="T136">
        <v>0</v>
      </c>
    </row>
    <row r="137" spans="1:20" x14ac:dyDescent="0.3">
      <c r="A137" t="s">
        <v>210</v>
      </c>
      <c r="B137" t="s">
        <v>212</v>
      </c>
      <c r="C137" t="s">
        <v>59</v>
      </c>
      <c r="D137" t="s">
        <v>60</v>
      </c>
      <c r="E137" t="s">
        <v>56</v>
      </c>
      <c r="F137" t="s">
        <v>66</v>
      </c>
      <c r="G137" t="s">
        <v>74</v>
      </c>
      <c r="H137" t="s">
        <v>75</v>
      </c>
      <c r="I137">
        <v>115</v>
      </c>
      <c r="J137">
        <v>20700000</v>
      </c>
      <c r="K137">
        <v>10</v>
      </c>
      <c r="L137" s="1">
        <v>46066</v>
      </c>
      <c r="M137" t="b">
        <v>0</v>
      </c>
      <c r="N137" t="b">
        <v>0</v>
      </c>
      <c r="O137" t="b">
        <v>0</v>
      </c>
      <c r="P137">
        <v>0</v>
      </c>
      <c r="Q137" t="b">
        <v>0</v>
      </c>
      <c r="R137">
        <v>0</v>
      </c>
      <c r="S137">
        <v>0</v>
      </c>
      <c r="T137">
        <v>0</v>
      </c>
    </row>
    <row r="138" spans="1:20" x14ac:dyDescent="0.3">
      <c r="A138" t="s">
        <v>189</v>
      </c>
      <c r="B138" t="s">
        <v>191</v>
      </c>
      <c r="C138" t="s">
        <v>87</v>
      </c>
      <c r="D138" t="s">
        <v>73</v>
      </c>
      <c r="E138" t="s">
        <v>134</v>
      </c>
      <c r="F138" t="s">
        <v>114</v>
      </c>
      <c r="G138" t="s">
        <v>117</v>
      </c>
      <c r="H138" t="s">
        <v>83</v>
      </c>
      <c r="I138">
        <v>188</v>
      </c>
      <c r="J138">
        <v>47000000</v>
      </c>
      <c r="K138">
        <v>20</v>
      </c>
      <c r="L138" s="1">
        <v>45986</v>
      </c>
      <c r="M138" t="b">
        <v>0</v>
      </c>
      <c r="N138" t="b">
        <v>0</v>
      </c>
      <c r="O138" t="b">
        <v>1</v>
      </c>
      <c r="P138">
        <v>47000000</v>
      </c>
      <c r="Q138" t="b">
        <v>1</v>
      </c>
      <c r="R138">
        <v>47000000</v>
      </c>
      <c r="S138">
        <v>0</v>
      </c>
      <c r="T138">
        <v>0</v>
      </c>
    </row>
    <row r="139" spans="1:20" x14ac:dyDescent="0.3">
      <c r="A139" t="s">
        <v>189</v>
      </c>
      <c r="B139" t="s">
        <v>191</v>
      </c>
      <c r="C139" t="s">
        <v>87</v>
      </c>
      <c r="D139" t="s">
        <v>73</v>
      </c>
      <c r="E139" t="s">
        <v>134</v>
      </c>
      <c r="F139" t="s">
        <v>80</v>
      </c>
      <c r="G139" t="s">
        <v>88</v>
      </c>
      <c r="H139" t="s">
        <v>83</v>
      </c>
      <c r="I139">
        <v>157</v>
      </c>
      <c r="J139">
        <v>39250000</v>
      </c>
      <c r="K139">
        <v>50</v>
      </c>
      <c r="L139" s="1">
        <v>46048</v>
      </c>
      <c r="M139" t="b">
        <v>0</v>
      </c>
      <c r="N139" t="b">
        <v>0</v>
      </c>
      <c r="O139" t="b">
        <v>1</v>
      </c>
      <c r="P139">
        <v>39250000</v>
      </c>
      <c r="Q139" t="b">
        <v>1</v>
      </c>
      <c r="R139">
        <v>39250000</v>
      </c>
      <c r="S139">
        <v>0</v>
      </c>
      <c r="T139">
        <v>0</v>
      </c>
    </row>
    <row r="140" spans="1:20" x14ac:dyDescent="0.3">
      <c r="A140" t="s">
        <v>189</v>
      </c>
      <c r="B140" t="s">
        <v>191</v>
      </c>
      <c r="C140" t="s">
        <v>87</v>
      </c>
      <c r="D140" t="s">
        <v>73</v>
      </c>
      <c r="E140" t="s">
        <v>134</v>
      </c>
      <c r="F140" t="s">
        <v>50</v>
      </c>
      <c r="G140" t="s">
        <v>61</v>
      </c>
      <c r="H140" t="s">
        <v>54</v>
      </c>
      <c r="I140">
        <v>102</v>
      </c>
      <c r="J140">
        <v>25500000</v>
      </c>
      <c r="K140">
        <v>10</v>
      </c>
      <c r="L140" s="1">
        <v>46036</v>
      </c>
      <c r="M140" t="b">
        <v>0</v>
      </c>
      <c r="N140" t="b">
        <v>0</v>
      </c>
      <c r="O140" t="b">
        <v>1</v>
      </c>
      <c r="P140">
        <v>25500000</v>
      </c>
      <c r="Q140" t="b">
        <v>1</v>
      </c>
      <c r="R140">
        <v>25500000</v>
      </c>
      <c r="S140">
        <v>0</v>
      </c>
      <c r="T140">
        <v>0</v>
      </c>
    </row>
    <row r="141" spans="1:20" x14ac:dyDescent="0.3">
      <c r="A141" t="s">
        <v>189</v>
      </c>
      <c r="B141" t="s">
        <v>191</v>
      </c>
      <c r="C141" t="s">
        <v>87</v>
      </c>
      <c r="D141" t="s">
        <v>73</v>
      </c>
      <c r="E141" t="s">
        <v>134</v>
      </c>
      <c r="F141" t="s">
        <v>66</v>
      </c>
      <c r="G141" t="s">
        <v>74</v>
      </c>
      <c r="H141" t="s">
        <v>75</v>
      </c>
      <c r="I141">
        <v>168</v>
      </c>
      <c r="J141">
        <v>42000000</v>
      </c>
      <c r="K141">
        <v>20</v>
      </c>
      <c r="L141" s="1">
        <v>46130</v>
      </c>
      <c r="M141" t="b">
        <v>0</v>
      </c>
      <c r="N141" t="b">
        <v>0</v>
      </c>
      <c r="O141" t="b">
        <v>1</v>
      </c>
      <c r="P141">
        <v>42000000</v>
      </c>
      <c r="Q141" t="b">
        <v>1</v>
      </c>
      <c r="R141">
        <v>42000000</v>
      </c>
      <c r="S141">
        <v>0</v>
      </c>
      <c r="T141">
        <v>0</v>
      </c>
    </row>
    <row r="142" spans="1:20" x14ac:dyDescent="0.3">
      <c r="A142" t="s">
        <v>156</v>
      </c>
      <c r="B142" t="s">
        <v>157</v>
      </c>
      <c r="C142" t="s">
        <v>72</v>
      </c>
      <c r="D142" t="s">
        <v>73</v>
      </c>
      <c r="E142" t="s">
        <v>56</v>
      </c>
      <c r="F142" t="s">
        <v>114</v>
      </c>
      <c r="G142" t="s">
        <v>117</v>
      </c>
      <c r="H142" t="s">
        <v>83</v>
      </c>
      <c r="I142">
        <v>119</v>
      </c>
      <c r="J142">
        <v>21420000</v>
      </c>
      <c r="K142">
        <v>50</v>
      </c>
      <c r="L142" s="1">
        <v>46020</v>
      </c>
      <c r="M142" t="b">
        <v>0</v>
      </c>
      <c r="N142" t="b">
        <v>0</v>
      </c>
      <c r="O142" t="b">
        <v>0</v>
      </c>
      <c r="P142">
        <v>0</v>
      </c>
      <c r="Q142" t="b">
        <v>0</v>
      </c>
      <c r="R142">
        <v>0</v>
      </c>
      <c r="S142">
        <v>0</v>
      </c>
      <c r="T142">
        <v>0</v>
      </c>
    </row>
    <row r="143" spans="1:20" x14ac:dyDescent="0.3">
      <c r="A143" t="s">
        <v>156</v>
      </c>
      <c r="B143" t="s">
        <v>157</v>
      </c>
      <c r="C143" t="s">
        <v>72</v>
      </c>
      <c r="D143" t="s">
        <v>73</v>
      </c>
      <c r="E143" t="s">
        <v>56</v>
      </c>
      <c r="F143" t="s">
        <v>80</v>
      </c>
      <c r="G143" t="s">
        <v>88</v>
      </c>
      <c r="H143" t="s">
        <v>83</v>
      </c>
      <c r="I143">
        <v>21</v>
      </c>
      <c r="J143">
        <v>3780000</v>
      </c>
      <c r="K143">
        <v>50</v>
      </c>
      <c r="L143" s="1">
        <v>46198</v>
      </c>
      <c r="M143" t="b">
        <v>1</v>
      </c>
      <c r="N143" t="b">
        <v>0</v>
      </c>
      <c r="O143" t="b">
        <v>0</v>
      </c>
      <c r="P143">
        <v>0</v>
      </c>
      <c r="Q143" t="b">
        <v>0</v>
      </c>
      <c r="R143">
        <v>0</v>
      </c>
      <c r="S143">
        <v>1</v>
      </c>
      <c r="T143">
        <v>0</v>
      </c>
    </row>
    <row r="144" spans="1:20" x14ac:dyDescent="0.3">
      <c r="A144" t="s">
        <v>156</v>
      </c>
      <c r="B144" t="s">
        <v>157</v>
      </c>
      <c r="C144" t="s">
        <v>72</v>
      </c>
      <c r="D144" t="s">
        <v>73</v>
      </c>
      <c r="E144" t="s">
        <v>56</v>
      </c>
      <c r="F144" t="s">
        <v>50</v>
      </c>
      <c r="G144" t="s">
        <v>61</v>
      </c>
      <c r="H144" t="s">
        <v>54</v>
      </c>
      <c r="I144">
        <v>99</v>
      </c>
      <c r="J144">
        <v>17820000</v>
      </c>
      <c r="K144">
        <v>50</v>
      </c>
      <c r="L144" s="1">
        <v>46064</v>
      </c>
      <c r="M144" t="b">
        <v>0</v>
      </c>
      <c r="N144" t="b">
        <v>0</v>
      </c>
      <c r="O144" t="b">
        <v>0</v>
      </c>
      <c r="P144">
        <v>0</v>
      </c>
      <c r="Q144" t="b">
        <v>0</v>
      </c>
      <c r="R144">
        <v>0</v>
      </c>
      <c r="S144">
        <v>0</v>
      </c>
      <c r="T144">
        <v>0</v>
      </c>
    </row>
    <row r="145" spans="1:20" x14ac:dyDescent="0.3">
      <c r="A145" t="s">
        <v>156</v>
      </c>
      <c r="B145" t="s">
        <v>157</v>
      </c>
      <c r="C145" t="s">
        <v>72</v>
      </c>
      <c r="D145" t="s">
        <v>73</v>
      </c>
      <c r="E145" t="s">
        <v>56</v>
      </c>
      <c r="F145" t="s">
        <v>66</v>
      </c>
      <c r="G145" t="s">
        <v>74</v>
      </c>
      <c r="H145" t="s">
        <v>75</v>
      </c>
      <c r="I145">
        <v>36</v>
      </c>
      <c r="J145">
        <v>6480000</v>
      </c>
      <c r="K145">
        <v>50</v>
      </c>
      <c r="L145" s="1">
        <v>46155</v>
      </c>
      <c r="M145" t="b">
        <v>1</v>
      </c>
      <c r="N145" t="b">
        <v>0</v>
      </c>
      <c r="O145" t="b">
        <v>0</v>
      </c>
      <c r="P145">
        <v>0</v>
      </c>
      <c r="Q145" t="b">
        <v>0</v>
      </c>
      <c r="R145">
        <v>0</v>
      </c>
      <c r="S145">
        <v>1</v>
      </c>
      <c r="T145">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9"/>
  <sheetViews>
    <sheetView workbookViewId="0"/>
  </sheetViews>
  <sheetFormatPr defaultRowHeight="14.4" x14ac:dyDescent="0.3"/>
  <sheetData>
    <row r="1" spans="1:5" x14ac:dyDescent="0.3">
      <c r="A1" t="s">
        <v>623</v>
      </c>
      <c r="B1" t="s">
        <v>624</v>
      </c>
      <c r="C1" t="s">
        <v>21</v>
      </c>
      <c r="D1" t="s">
        <v>22</v>
      </c>
      <c r="E1" t="s">
        <v>625</v>
      </c>
    </row>
    <row r="2" spans="1:5" x14ac:dyDescent="0.3">
      <c r="A2" s="1">
        <v>46023</v>
      </c>
      <c r="B2" t="s">
        <v>83</v>
      </c>
      <c r="C2" t="s">
        <v>138</v>
      </c>
      <c r="D2" t="s">
        <v>139</v>
      </c>
      <c r="E2">
        <v>897000000</v>
      </c>
    </row>
    <row r="3" spans="1:5" x14ac:dyDescent="0.3">
      <c r="A3" s="1">
        <v>46023</v>
      </c>
      <c r="B3" t="s">
        <v>83</v>
      </c>
      <c r="C3" t="s">
        <v>101</v>
      </c>
      <c r="D3" t="s">
        <v>102</v>
      </c>
      <c r="E3">
        <v>892000000</v>
      </c>
    </row>
    <row r="4" spans="1:5" x14ac:dyDescent="0.3">
      <c r="A4" s="1">
        <v>46023</v>
      </c>
      <c r="B4" t="s">
        <v>83</v>
      </c>
      <c r="C4" t="s">
        <v>109</v>
      </c>
      <c r="D4" t="s">
        <v>110</v>
      </c>
      <c r="E4">
        <v>618000000</v>
      </c>
    </row>
    <row r="5" spans="1:5" x14ac:dyDescent="0.3">
      <c r="A5" s="1">
        <v>46023</v>
      </c>
      <c r="B5" t="s">
        <v>83</v>
      </c>
      <c r="C5" t="s">
        <v>58</v>
      </c>
      <c r="D5" t="s">
        <v>59</v>
      </c>
      <c r="E5">
        <v>810000000</v>
      </c>
    </row>
    <row r="6" spans="1:5" x14ac:dyDescent="0.3">
      <c r="A6" s="1">
        <v>46023</v>
      </c>
      <c r="B6" t="s">
        <v>83</v>
      </c>
      <c r="C6" t="s">
        <v>86</v>
      </c>
      <c r="D6" t="s">
        <v>87</v>
      </c>
      <c r="E6">
        <v>460000000</v>
      </c>
    </row>
    <row r="7" spans="1:5" x14ac:dyDescent="0.3">
      <c r="A7" s="1">
        <v>46023</v>
      </c>
      <c r="B7" t="s">
        <v>83</v>
      </c>
      <c r="C7" t="s">
        <v>71</v>
      </c>
      <c r="D7" t="s">
        <v>72</v>
      </c>
      <c r="E7">
        <v>568000000</v>
      </c>
    </row>
    <row r="8" spans="1:5" x14ac:dyDescent="0.3">
      <c r="A8" s="1">
        <v>46023</v>
      </c>
      <c r="B8" t="s">
        <v>54</v>
      </c>
      <c r="C8" t="s">
        <v>138</v>
      </c>
      <c r="D8" t="s">
        <v>139</v>
      </c>
      <c r="E8">
        <v>788000000</v>
      </c>
    </row>
    <row r="9" spans="1:5" x14ac:dyDescent="0.3">
      <c r="A9" s="1">
        <v>46023</v>
      </c>
      <c r="B9" t="s">
        <v>54</v>
      </c>
      <c r="C9" t="s">
        <v>101</v>
      </c>
      <c r="D9" t="s">
        <v>102</v>
      </c>
      <c r="E9">
        <v>402000000</v>
      </c>
    </row>
    <row r="10" spans="1:5" x14ac:dyDescent="0.3">
      <c r="A10" s="1">
        <v>46023</v>
      </c>
      <c r="B10" t="s">
        <v>54</v>
      </c>
      <c r="C10" t="s">
        <v>109</v>
      </c>
      <c r="D10" t="s">
        <v>110</v>
      </c>
      <c r="E10">
        <v>799000000</v>
      </c>
    </row>
    <row r="11" spans="1:5" x14ac:dyDescent="0.3">
      <c r="A11" s="1">
        <v>46023</v>
      </c>
      <c r="B11" t="s">
        <v>54</v>
      </c>
      <c r="C11" t="s">
        <v>58</v>
      </c>
      <c r="D11" t="s">
        <v>59</v>
      </c>
      <c r="E11">
        <v>671000000</v>
      </c>
    </row>
    <row r="12" spans="1:5" x14ac:dyDescent="0.3">
      <c r="A12" s="1">
        <v>46023</v>
      </c>
      <c r="B12" t="s">
        <v>54</v>
      </c>
      <c r="C12" t="s">
        <v>86</v>
      </c>
      <c r="D12" t="s">
        <v>87</v>
      </c>
      <c r="E12">
        <v>865000000</v>
      </c>
    </row>
    <row r="13" spans="1:5" x14ac:dyDescent="0.3">
      <c r="A13" s="1">
        <v>46023</v>
      </c>
      <c r="B13" t="s">
        <v>54</v>
      </c>
      <c r="C13" t="s">
        <v>71</v>
      </c>
      <c r="D13" t="s">
        <v>72</v>
      </c>
      <c r="E13">
        <v>692000000</v>
      </c>
    </row>
    <row r="14" spans="1:5" x14ac:dyDescent="0.3">
      <c r="A14" s="1">
        <v>46023</v>
      </c>
      <c r="B14" t="s">
        <v>75</v>
      </c>
      <c r="C14" t="s">
        <v>138</v>
      </c>
      <c r="D14" t="s">
        <v>139</v>
      </c>
      <c r="E14">
        <v>833000000</v>
      </c>
    </row>
    <row r="15" spans="1:5" x14ac:dyDescent="0.3">
      <c r="A15" s="1">
        <v>46023</v>
      </c>
      <c r="B15" t="s">
        <v>75</v>
      </c>
      <c r="C15" t="s">
        <v>101</v>
      </c>
      <c r="D15" t="s">
        <v>102</v>
      </c>
      <c r="E15">
        <v>1113000000</v>
      </c>
    </row>
    <row r="16" spans="1:5" x14ac:dyDescent="0.3">
      <c r="A16" s="1">
        <v>46023</v>
      </c>
      <c r="B16" t="s">
        <v>75</v>
      </c>
      <c r="C16" t="s">
        <v>109</v>
      </c>
      <c r="D16" t="s">
        <v>110</v>
      </c>
      <c r="E16">
        <v>1148000000</v>
      </c>
    </row>
    <row r="17" spans="1:5" x14ac:dyDescent="0.3">
      <c r="A17" s="1">
        <v>46023</v>
      </c>
      <c r="B17" t="s">
        <v>75</v>
      </c>
      <c r="C17" t="s">
        <v>58</v>
      </c>
      <c r="D17" t="s">
        <v>59</v>
      </c>
      <c r="E17">
        <v>969000000</v>
      </c>
    </row>
    <row r="18" spans="1:5" x14ac:dyDescent="0.3">
      <c r="A18" s="1">
        <v>46023</v>
      </c>
      <c r="B18" t="s">
        <v>75</v>
      </c>
      <c r="C18" t="s">
        <v>86</v>
      </c>
      <c r="D18" t="s">
        <v>87</v>
      </c>
      <c r="E18">
        <v>1077000000</v>
      </c>
    </row>
    <row r="19" spans="1:5" x14ac:dyDescent="0.3">
      <c r="A19" s="1">
        <v>46023</v>
      </c>
      <c r="B19" t="s">
        <v>75</v>
      </c>
      <c r="C19" t="s">
        <v>71</v>
      </c>
      <c r="D19" t="s">
        <v>72</v>
      </c>
      <c r="E19">
        <v>1135000000</v>
      </c>
    </row>
    <row r="20" spans="1:5" x14ac:dyDescent="0.3">
      <c r="A20" s="1">
        <v>46054</v>
      </c>
      <c r="B20" t="s">
        <v>83</v>
      </c>
      <c r="C20" t="s">
        <v>138</v>
      </c>
      <c r="D20" t="s">
        <v>139</v>
      </c>
      <c r="E20">
        <v>898000000</v>
      </c>
    </row>
    <row r="21" spans="1:5" x14ac:dyDescent="0.3">
      <c r="A21" s="1">
        <v>46054</v>
      </c>
      <c r="B21" t="s">
        <v>83</v>
      </c>
      <c r="C21" t="s">
        <v>101</v>
      </c>
      <c r="D21" t="s">
        <v>102</v>
      </c>
      <c r="E21">
        <v>558000000</v>
      </c>
    </row>
    <row r="22" spans="1:5" x14ac:dyDescent="0.3">
      <c r="A22" s="1">
        <v>46054</v>
      </c>
      <c r="B22" t="s">
        <v>83</v>
      </c>
      <c r="C22" t="s">
        <v>109</v>
      </c>
      <c r="D22" t="s">
        <v>110</v>
      </c>
      <c r="E22">
        <v>594000000</v>
      </c>
    </row>
    <row r="23" spans="1:5" x14ac:dyDescent="0.3">
      <c r="A23" s="1">
        <v>46054</v>
      </c>
      <c r="B23" t="s">
        <v>83</v>
      </c>
      <c r="C23" t="s">
        <v>58</v>
      </c>
      <c r="D23" t="s">
        <v>59</v>
      </c>
      <c r="E23">
        <v>703000000</v>
      </c>
    </row>
    <row r="24" spans="1:5" x14ac:dyDescent="0.3">
      <c r="A24" s="1">
        <v>46054</v>
      </c>
      <c r="B24" t="s">
        <v>83</v>
      </c>
      <c r="C24" t="s">
        <v>86</v>
      </c>
      <c r="D24" t="s">
        <v>87</v>
      </c>
      <c r="E24">
        <v>622000000</v>
      </c>
    </row>
    <row r="25" spans="1:5" x14ac:dyDescent="0.3">
      <c r="A25" s="1">
        <v>46054</v>
      </c>
      <c r="B25" t="s">
        <v>83</v>
      </c>
      <c r="C25" t="s">
        <v>71</v>
      </c>
      <c r="D25" t="s">
        <v>72</v>
      </c>
      <c r="E25">
        <v>459000000</v>
      </c>
    </row>
    <row r="26" spans="1:5" x14ac:dyDescent="0.3">
      <c r="A26" s="1">
        <v>46054</v>
      </c>
      <c r="B26" t="s">
        <v>54</v>
      </c>
      <c r="C26" t="s">
        <v>138</v>
      </c>
      <c r="D26" t="s">
        <v>139</v>
      </c>
      <c r="E26">
        <v>993000000</v>
      </c>
    </row>
    <row r="27" spans="1:5" x14ac:dyDescent="0.3">
      <c r="A27" s="1">
        <v>46054</v>
      </c>
      <c r="B27" t="s">
        <v>54</v>
      </c>
      <c r="C27" t="s">
        <v>101</v>
      </c>
      <c r="D27" t="s">
        <v>102</v>
      </c>
      <c r="E27">
        <v>1153000000</v>
      </c>
    </row>
    <row r="28" spans="1:5" x14ac:dyDescent="0.3">
      <c r="A28" s="1">
        <v>46054</v>
      </c>
      <c r="B28" t="s">
        <v>54</v>
      </c>
      <c r="C28" t="s">
        <v>109</v>
      </c>
      <c r="D28" t="s">
        <v>110</v>
      </c>
      <c r="E28">
        <v>955000000</v>
      </c>
    </row>
    <row r="29" spans="1:5" x14ac:dyDescent="0.3">
      <c r="A29" s="1">
        <v>46054</v>
      </c>
      <c r="B29" t="s">
        <v>54</v>
      </c>
      <c r="C29" t="s">
        <v>58</v>
      </c>
      <c r="D29" t="s">
        <v>59</v>
      </c>
      <c r="E29">
        <v>462000000</v>
      </c>
    </row>
    <row r="30" spans="1:5" x14ac:dyDescent="0.3">
      <c r="A30" s="1">
        <v>46054</v>
      </c>
      <c r="B30" t="s">
        <v>54</v>
      </c>
      <c r="C30" t="s">
        <v>86</v>
      </c>
      <c r="D30" t="s">
        <v>87</v>
      </c>
      <c r="E30">
        <v>1165000000</v>
      </c>
    </row>
    <row r="31" spans="1:5" x14ac:dyDescent="0.3">
      <c r="A31" s="1">
        <v>46054</v>
      </c>
      <c r="B31" t="s">
        <v>54</v>
      </c>
      <c r="C31" t="s">
        <v>71</v>
      </c>
      <c r="D31" t="s">
        <v>72</v>
      </c>
      <c r="E31">
        <v>721000000</v>
      </c>
    </row>
    <row r="32" spans="1:5" x14ac:dyDescent="0.3">
      <c r="A32" s="1">
        <v>46054</v>
      </c>
      <c r="B32" t="s">
        <v>75</v>
      </c>
      <c r="C32" t="s">
        <v>138</v>
      </c>
      <c r="D32" t="s">
        <v>139</v>
      </c>
      <c r="E32">
        <v>458000000</v>
      </c>
    </row>
    <row r="33" spans="1:5" x14ac:dyDescent="0.3">
      <c r="A33" s="1">
        <v>46054</v>
      </c>
      <c r="B33" t="s">
        <v>75</v>
      </c>
      <c r="C33" t="s">
        <v>101</v>
      </c>
      <c r="D33" t="s">
        <v>102</v>
      </c>
      <c r="E33">
        <v>451000000</v>
      </c>
    </row>
    <row r="34" spans="1:5" x14ac:dyDescent="0.3">
      <c r="A34" s="1">
        <v>46054</v>
      </c>
      <c r="B34" t="s">
        <v>75</v>
      </c>
      <c r="C34" t="s">
        <v>109</v>
      </c>
      <c r="D34" t="s">
        <v>110</v>
      </c>
      <c r="E34">
        <v>998000000</v>
      </c>
    </row>
    <row r="35" spans="1:5" x14ac:dyDescent="0.3">
      <c r="A35" s="1">
        <v>46054</v>
      </c>
      <c r="B35" t="s">
        <v>75</v>
      </c>
      <c r="C35" t="s">
        <v>58</v>
      </c>
      <c r="D35" t="s">
        <v>59</v>
      </c>
      <c r="E35">
        <v>888000000</v>
      </c>
    </row>
    <row r="36" spans="1:5" x14ac:dyDescent="0.3">
      <c r="A36" s="1">
        <v>46054</v>
      </c>
      <c r="B36" t="s">
        <v>75</v>
      </c>
      <c r="C36" t="s">
        <v>86</v>
      </c>
      <c r="D36" t="s">
        <v>87</v>
      </c>
      <c r="E36">
        <v>914000000</v>
      </c>
    </row>
    <row r="37" spans="1:5" x14ac:dyDescent="0.3">
      <c r="A37" s="1">
        <v>46054</v>
      </c>
      <c r="B37" t="s">
        <v>75</v>
      </c>
      <c r="C37" t="s">
        <v>71</v>
      </c>
      <c r="D37" t="s">
        <v>72</v>
      </c>
      <c r="E37">
        <v>943000000</v>
      </c>
    </row>
    <row r="38" spans="1:5" x14ac:dyDescent="0.3">
      <c r="A38" s="1">
        <v>46082</v>
      </c>
      <c r="B38" t="s">
        <v>83</v>
      </c>
      <c r="C38" t="s">
        <v>138</v>
      </c>
      <c r="D38" t="s">
        <v>139</v>
      </c>
      <c r="E38">
        <v>561000000</v>
      </c>
    </row>
    <row r="39" spans="1:5" x14ac:dyDescent="0.3">
      <c r="A39" s="1">
        <v>46082</v>
      </c>
      <c r="B39" t="s">
        <v>83</v>
      </c>
      <c r="C39" t="s">
        <v>101</v>
      </c>
      <c r="D39" t="s">
        <v>102</v>
      </c>
      <c r="E39">
        <v>458000000</v>
      </c>
    </row>
    <row r="40" spans="1:5" x14ac:dyDescent="0.3">
      <c r="A40" s="1">
        <v>46082</v>
      </c>
      <c r="B40" t="s">
        <v>83</v>
      </c>
      <c r="C40" t="s">
        <v>109</v>
      </c>
      <c r="D40" t="s">
        <v>110</v>
      </c>
      <c r="E40">
        <v>920000000</v>
      </c>
    </row>
    <row r="41" spans="1:5" x14ac:dyDescent="0.3">
      <c r="A41" s="1">
        <v>46082</v>
      </c>
      <c r="B41" t="s">
        <v>83</v>
      </c>
      <c r="C41" t="s">
        <v>58</v>
      </c>
      <c r="D41" t="s">
        <v>59</v>
      </c>
      <c r="E41">
        <v>482000000</v>
      </c>
    </row>
    <row r="42" spans="1:5" x14ac:dyDescent="0.3">
      <c r="A42" s="1">
        <v>46082</v>
      </c>
      <c r="B42" t="s">
        <v>83</v>
      </c>
      <c r="C42" t="s">
        <v>86</v>
      </c>
      <c r="D42" t="s">
        <v>87</v>
      </c>
      <c r="E42">
        <v>590000000</v>
      </c>
    </row>
    <row r="43" spans="1:5" x14ac:dyDescent="0.3">
      <c r="A43" s="1">
        <v>46082</v>
      </c>
      <c r="B43" t="s">
        <v>83</v>
      </c>
      <c r="C43" t="s">
        <v>71</v>
      </c>
      <c r="D43" t="s">
        <v>72</v>
      </c>
      <c r="E43">
        <v>470000000</v>
      </c>
    </row>
    <row r="44" spans="1:5" x14ac:dyDescent="0.3">
      <c r="A44" s="1">
        <v>46082</v>
      </c>
      <c r="B44" t="s">
        <v>54</v>
      </c>
      <c r="C44" t="s">
        <v>138</v>
      </c>
      <c r="D44" t="s">
        <v>139</v>
      </c>
      <c r="E44">
        <v>1009000000</v>
      </c>
    </row>
    <row r="45" spans="1:5" x14ac:dyDescent="0.3">
      <c r="A45" s="1">
        <v>46082</v>
      </c>
      <c r="B45" t="s">
        <v>54</v>
      </c>
      <c r="C45" t="s">
        <v>101</v>
      </c>
      <c r="D45" t="s">
        <v>102</v>
      </c>
      <c r="E45">
        <v>469000000</v>
      </c>
    </row>
    <row r="46" spans="1:5" x14ac:dyDescent="0.3">
      <c r="A46" s="1">
        <v>46082</v>
      </c>
      <c r="B46" t="s">
        <v>54</v>
      </c>
      <c r="C46" t="s">
        <v>109</v>
      </c>
      <c r="D46" t="s">
        <v>110</v>
      </c>
      <c r="E46">
        <v>1091000000</v>
      </c>
    </row>
    <row r="47" spans="1:5" x14ac:dyDescent="0.3">
      <c r="A47" s="1">
        <v>46082</v>
      </c>
      <c r="B47" t="s">
        <v>54</v>
      </c>
      <c r="C47" t="s">
        <v>58</v>
      </c>
      <c r="D47" t="s">
        <v>59</v>
      </c>
      <c r="E47">
        <v>640000000</v>
      </c>
    </row>
    <row r="48" spans="1:5" x14ac:dyDescent="0.3">
      <c r="A48" s="1">
        <v>46082</v>
      </c>
      <c r="B48" t="s">
        <v>54</v>
      </c>
      <c r="C48" t="s">
        <v>86</v>
      </c>
      <c r="D48" t="s">
        <v>87</v>
      </c>
      <c r="E48">
        <v>813000000</v>
      </c>
    </row>
    <row r="49" spans="1:5" x14ac:dyDescent="0.3">
      <c r="A49" s="1">
        <v>46082</v>
      </c>
      <c r="B49" t="s">
        <v>54</v>
      </c>
      <c r="C49" t="s">
        <v>71</v>
      </c>
      <c r="D49" t="s">
        <v>72</v>
      </c>
      <c r="E49">
        <v>522000000</v>
      </c>
    </row>
    <row r="50" spans="1:5" x14ac:dyDescent="0.3">
      <c r="A50" s="1">
        <v>46082</v>
      </c>
      <c r="B50" t="s">
        <v>75</v>
      </c>
      <c r="C50" t="s">
        <v>138</v>
      </c>
      <c r="D50" t="s">
        <v>139</v>
      </c>
      <c r="E50">
        <v>983000000</v>
      </c>
    </row>
    <row r="51" spans="1:5" x14ac:dyDescent="0.3">
      <c r="A51" s="1">
        <v>46082</v>
      </c>
      <c r="B51" t="s">
        <v>75</v>
      </c>
      <c r="C51" t="s">
        <v>101</v>
      </c>
      <c r="D51" t="s">
        <v>102</v>
      </c>
      <c r="E51">
        <v>652000000</v>
      </c>
    </row>
    <row r="52" spans="1:5" x14ac:dyDescent="0.3">
      <c r="A52" s="1">
        <v>46082</v>
      </c>
      <c r="B52" t="s">
        <v>75</v>
      </c>
      <c r="C52" t="s">
        <v>109</v>
      </c>
      <c r="D52" t="s">
        <v>110</v>
      </c>
      <c r="E52">
        <v>992000000</v>
      </c>
    </row>
    <row r="53" spans="1:5" x14ac:dyDescent="0.3">
      <c r="A53" s="1">
        <v>46082</v>
      </c>
      <c r="B53" t="s">
        <v>75</v>
      </c>
      <c r="C53" t="s">
        <v>58</v>
      </c>
      <c r="D53" t="s">
        <v>59</v>
      </c>
      <c r="E53">
        <v>1008000000</v>
      </c>
    </row>
    <row r="54" spans="1:5" x14ac:dyDescent="0.3">
      <c r="A54" s="1">
        <v>46082</v>
      </c>
      <c r="B54" t="s">
        <v>75</v>
      </c>
      <c r="C54" t="s">
        <v>86</v>
      </c>
      <c r="D54" t="s">
        <v>87</v>
      </c>
      <c r="E54">
        <v>440000000</v>
      </c>
    </row>
    <row r="55" spans="1:5" x14ac:dyDescent="0.3">
      <c r="A55" s="1">
        <v>46082</v>
      </c>
      <c r="B55" t="s">
        <v>75</v>
      </c>
      <c r="C55" t="s">
        <v>71</v>
      </c>
      <c r="D55" t="s">
        <v>72</v>
      </c>
      <c r="E55">
        <v>1034000000</v>
      </c>
    </row>
    <row r="56" spans="1:5" x14ac:dyDescent="0.3">
      <c r="A56" s="1">
        <v>46113</v>
      </c>
      <c r="B56" t="s">
        <v>83</v>
      </c>
      <c r="C56" t="s">
        <v>138</v>
      </c>
      <c r="D56" t="s">
        <v>139</v>
      </c>
      <c r="E56">
        <v>483000000</v>
      </c>
    </row>
    <row r="57" spans="1:5" x14ac:dyDescent="0.3">
      <c r="A57" s="1">
        <v>46113</v>
      </c>
      <c r="B57" t="s">
        <v>83</v>
      </c>
      <c r="C57" t="s">
        <v>101</v>
      </c>
      <c r="D57" t="s">
        <v>102</v>
      </c>
      <c r="E57">
        <v>829000000</v>
      </c>
    </row>
    <row r="58" spans="1:5" x14ac:dyDescent="0.3">
      <c r="A58" s="1">
        <v>46113</v>
      </c>
      <c r="B58" t="s">
        <v>83</v>
      </c>
      <c r="C58" t="s">
        <v>109</v>
      </c>
      <c r="D58" t="s">
        <v>110</v>
      </c>
      <c r="E58">
        <v>1073000000</v>
      </c>
    </row>
    <row r="59" spans="1:5" x14ac:dyDescent="0.3">
      <c r="A59" s="1">
        <v>46113</v>
      </c>
      <c r="B59" t="s">
        <v>83</v>
      </c>
      <c r="C59" t="s">
        <v>58</v>
      </c>
      <c r="D59" t="s">
        <v>59</v>
      </c>
      <c r="E59">
        <v>997000000</v>
      </c>
    </row>
    <row r="60" spans="1:5" x14ac:dyDescent="0.3">
      <c r="A60" s="1">
        <v>46113</v>
      </c>
      <c r="B60" t="s">
        <v>83</v>
      </c>
      <c r="C60" t="s">
        <v>86</v>
      </c>
      <c r="D60" t="s">
        <v>87</v>
      </c>
      <c r="E60">
        <v>978000000</v>
      </c>
    </row>
    <row r="61" spans="1:5" x14ac:dyDescent="0.3">
      <c r="A61" s="1">
        <v>46113</v>
      </c>
      <c r="B61" t="s">
        <v>83</v>
      </c>
      <c r="C61" t="s">
        <v>71</v>
      </c>
      <c r="D61" t="s">
        <v>72</v>
      </c>
      <c r="E61">
        <v>935000000</v>
      </c>
    </row>
    <row r="62" spans="1:5" x14ac:dyDescent="0.3">
      <c r="A62" s="1">
        <v>46113</v>
      </c>
      <c r="B62" t="s">
        <v>54</v>
      </c>
      <c r="C62" t="s">
        <v>138</v>
      </c>
      <c r="D62" t="s">
        <v>139</v>
      </c>
      <c r="E62">
        <v>723000000</v>
      </c>
    </row>
    <row r="63" spans="1:5" x14ac:dyDescent="0.3">
      <c r="A63" s="1">
        <v>46113</v>
      </c>
      <c r="B63" t="s">
        <v>54</v>
      </c>
      <c r="C63" t="s">
        <v>101</v>
      </c>
      <c r="D63" t="s">
        <v>102</v>
      </c>
      <c r="E63">
        <v>667000000</v>
      </c>
    </row>
    <row r="64" spans="1:5" x14ac:dyDescent="0.3">
      <c r="A64" s="1">
        <v>46113</v>
      </c>
      <c r="B64" t="s">
        <v>54</v>
      </c>
      <c r="C64" t="s">
        <v>109</v>
      </c>
      <c r="D64" t="s">
        <v>110</v>
      </c>
      <c r="E64">
        <v>609000000</v>
      </c>
    </row>
    <row r="65" spans="1:5" x14ac:dyDescent="0.3">
      <c r="A65" s="1">
        <v>46113</v>
      </c>
      <c r="B65" t="s">
        <v>54</v>
      </c>
      <c r="C65" t="s">
        <v>58</v>
      </c>
      <c r="D65" t="s">
        <v>59</v>
      </c>
      <c r="E65">
        <v>1085000000</v>
      </c>
    </row>
    <row r="66" spans="1:5" x14ac:dyDescent="0.3">
      <c r="A66" s="1">
        <v>46113</v>
      </c>
      <c r="B66" t="s">
        <v>54</v>
      </c>
      <c r="C66" t="s">
        <v>86</v>
      </c>
      <c r="D66" t="s">
        <v>87</v>
      </c>
      <c r="E66">
        <v>1133000000</v>
      </c>
    </row>
    <row r="67" spans="1:5" x14ac:dyDescent="0.3">
      <c r="A67" s="1">
        <v>46113</v>
      </c>
      <c r="B67" t="s">
        <v>54</v>
      </c>
      <c r="C67" t="s">
        <v>71</v>
      </c>
      <c r="D67" t="s">
        <v>72</v>
      </c>
      <c r="E67">
        <v>721000000</v>
      </c>
    </row>
    <row r="68" spans="1:5" x14ac:dyDescent="0.3">
      <c r="A68" s="1">
        <v>46113</v>
      </c>
      <c r="B68" t="s">
        <v>75</v>
      </c>
      <c r="C68" t="s">
        <v>138</v>
      </c>
      <c r="D68" t="s">
        <v>139</v>
      </c>
      <c r="E68">
        <v>644000000</v>
      </c>
    </row>
    <row r="69" spans="1:5" x14ac:dyDescent="0.3">
      <c r="A69" s="1">
        <v>46113</v>
      </c>
      <c r="B69" t="s">
        <v>75</v>
      </c>
      <c r="C69" t="s">
        <v>101</v>
      </c>
      <c r="D69" t="s">
        <v>102</v>
      </c>
      <c r="E69">
        <v>671000000</v>
      </c>
    </row>
    <row r="70" spans="1:5" x14ac:dyDescent="0.3">
      <c r="A70" s="1">
        <v>46113</v>
      </c>
      <c r="B70" t="s">
        <v>75</v>
      </c>
      <c r="C70" t="s">
        <v>109</v>
      </c>
      <c r="D70" t="s">
        <v>110</v>
      </c>
      <c r="E70">
        <v>805000000</v>
      </c>
    </row>
    <row r="71" spans="1:5" x14ac:dyDescent="0.3">
      <c r="A71" s="1">
        <v>46113</v>
      </c>
      <c r="B71" t="s">
        <v>75</v>
      </c>
      <c r="C71" t="s">
        <v>58</v>
      </c>
      <c r="D71" t="s">
        <v>59</v>
      </c>
      <c r="E71">
        <v>534000000</v>
      </c>
    </row>
    <row r="72" spans="1:5" x14ac:dyDescent="0.3">
      <c r="A72" s="1">
        <v>46113</v>
      </c>
      <c r="B72" t="s">
        <v>75</v>
      </c>
      <c r="C72" t="s">
        <v>86</v>
      </c>
      <c r="D72" t="s">
        <v>87</v>
      </c>
      <c r="E72">
        <v>1087000000</v>
      </c>
    </row>
    <row r="73" spans="1:5" x14ac:dyDescent="0.3">
      <c r="A73" s="1">
        <v>46113</v>
      </c>
      <c r="B73" t="s">
        <v>75</v>
      </c>
      <c r="C73" t="s">
        <v>71</v>
      </c>
      <c r="D73" t="s">
        <v>72</v>
      </c>
      <c r="E73">
        <v>1060000000</v>
      </c>
    </row>
    <row r="74" spans="1:5" x14ac:dyDescent="0.3">
      <c r="A74" s="1">
        <v>46143</v>
      </c>
      <c r="B74" t="s">
        <v>83</v>
      </c>
      <c r="C74" t="s">
        <v>138</v>
      </c>
      <c r="D74" t="s">
        <v>139</v>
      </c>
      <c r="E74">
        <v>707000000</v>
      </c>
    </row>
    <row r="75" spans="1:5" x14ac:dyDescent="0.3">
      <c r="A75" s="1">
        <v>46143</v>
      </c>
      <c r="B75" t="s">
        <v>83</v>
      </c>
      <c r="C75" t="s">
        <v>101</v>
      </c>
      <c r="D75" t="s">
        <v>102</v>
      </c>
      <c r="E75">
        <v>868000000</v>
      </c>
    </row>
    <row r="76" spans="1:5" x14ac:dyDescent="0.3">
      <c r="A76" s="1">
        <v>46143</v>
      </c>
      <c r="B76" t="s">
        <v>83</v>
      </c>
      <c r="C76" t="s">
        <v>109</v>
      </c>
      <c r="D76" t="s">
        <v>110</v>
      </c>
      <c r="E76">
        <v>723000000</v>
      </c>
    </row>
    <row r="77" spans="1:5" x14ac:dyDescent="0.3">
      <c r="A77" s="1">
        <v>46143</v>
      </c>
      <c r="B77" t="s">
        <v>83</v>
      </c>
      <c r="C77" t="s">
        <v>58</v>
      </c>
      <c r="D77" t="s">
        <v>59</v>
      </c>
      <c r="E77">
        <v>1169000000</v>
      </c>
    </row>
    <row r="78" spans="1:5" x14ac:dyDescent="0.3">
      <c r="A78" s="1">
        <v>46143</v>
      </c>
      <c r="B78" t="s">
        <v>83</v>
      </c>
      <c r="C78" t="s">
        <v>86</v>
      </c>
      <c r="D78" t="s">
        <v>87</v>
      </c>
      <c r="E78">
        <v>474000000</v>
      </c>
    </row>
    <row r="79" spans="1:5" x14ac:dyDescent="0.3">
      <c r="A79" s="1">
        <v>46143</v>
      </c>
      <c r="B79" t="s">
        <v>83</v>
      </c>
      <c r="C79" t="s">
        <v>71</v>
      </c>
      <c r="D79" t="s">
        <v>72</v>
      </c>
      <c r="E79">
        <v>409000000</v>
      </c>
    </row>
    <row r="80" spans="1:5" x14ac:dyDescent="0.3">
      <c r="A80" s="1">
        <v>46143</v>
      </c>
      <c r="B80" t="s">
        <v>54</v>
      </c>
      <c r="C80" t="s">
        <v>138</v>
      </c>
      <c r="D80" t="s">
        <v>139</v>
      </c>
      <c r="E80">
        <v>869000000</v>
      </c>
    </row>
    <row r="81" spans="1:5" x14ac:dyDescent="0.3">
      <c r="A81" s="1">
        <v>46143</v>
      </c>
      <c r="B81" t="s">
        <v>54</v>
      </c>
      <c r="C81" t="s">
        <v>101</v>
      </c>
      <c r="D81" t="s">
        <v>102</v>
      </c>
      <c r="E81">
        <v>1036000000</v>
      </c>
    </row>
    <row r="82" spans="1:5" x14ac:dyDescent="0.3">
      <c r="A82" s="1">
        <v>46143</v>
      </c>
      <c r="B82" t="s">
        <v>54</v>
      </c>
      <c r="C82" t="s">
        <v>109</v>
      </c>
      <c r="D82" t="s">
        <v>110</v>
      </c>
      <c r="E82">
        <v>976000000</v>
      </c>
    </row>
    <row r="83" spans="1:5" x14ac:dyDescent="0.3">
      <c r="A83" s="1">
        <v>46143</v>
      </c>
      <c r="B83" t="s">
        <v>54</v>
      </c>
      <c r="C83" t="s">
        <v>58</v>
      </c>
      <c r="D83" t="s">
        <v>59</v>
      </c>
      <c r="E83">
        <v>502000000</v>
      </c>
    </row>
    <row r="84" spans="1:5" x14ac:dyDescent="0.3">
      <c r="A84" s="1">
        <v>46143</v>
      </c>
      <c r="B84" t="s">
        <v>54</v>
      </c>
      <c r="C84" t="s">
        <v>86</v>
      </c>
      <c r="D84" t="s">
        <v>87</v>
      </c>
      <c r="E84">
        <v>475000000</v>
      </c>
    </row>
    <row r="85" spans="1:5" x14ac:dyDescent="0.3">
      <c r="A85" s="1">
        <v>46143</v>
      </c>
      <c r="B85" t="s">
        <v>54</v>
      </c>
      <c r="C85" t="s">
        <v>71</v>
      </c>
      <c r="D85" t="s">
        <v>72</v>
      </c>
      <c r="E85">
        <v>950000000</v>
      </c>
    </row>
    <row r="86" spans="1:5" x14ac:dyDescent="0.3">
      <c r="A86" s="1">
        <v>46143</v>
      </c>
      <c r="B86" t="s">
        <v>75</v>
      </c>
      <c r="C86" t="s">
        <v>138</v>
      </c>
      <c r="D86" t="s">
        <v>139</v>
      </c>
      <c r="E86">
        <v>618000000</v>
      </c>
    </row>
    <row r="87" spans="1:5" x14ac:dyDescent="0.3">
      <c r="A87" s="1">
        <v>46143</v>
      </c>
      <c r="B87" t="s">
        <v>75</v>
      </c>
      <c r="C87" t="s">
        <v>101</v>
      </c>
      <c r="D87" t="s">
        <v>102</v>
      </c>
      <c r="E87">
        <v>918000000</v>
      </c>
    </row>
    <row r="88" spans="1:5" x14ac:dyDescent="0.3">
      <c r="A88" s="1">
        <v>46143</v>
      </c>
      <c r="B88" t="s">
        <v>75</v>
      </c>
      <c r="C88" t="s">
        <v>109</v>
      </c>
      <c r="D88" t="s">
        <v>110</v>
      </c>
      <c r="E88">
        <v>671000000</v>
      </c>
    </row>
    <row r="89" spans="1:5" x14ac:dyDescent="0.3">
      <c r="A89" s="1">
        <v>46143</v>
      </c>
      <c r="B89" t="s">
        <v>75</v>
      </c>
      <c r="C89" t="s">
        <v>58</v>
      </c>
      <c r="D89" t="s">
        <v>59</v>
      </c>
      <c r="E89">
        <v>535000000</v>
      </c>
    </row>
    <row r="90" spans="1:5" x14ac:dyDescent="0.3">
      <c r="A90" s="1">
        <v>46143</v>
      </c>
      <c r="B90" t="s">
        <v>75</v>
      </c>
      <c r="C90" t="s">
        <v>86</v>
      </c>
      <c r="D90" t="s">
        <v>87</v>
      </c>
      <c r="E90">
        <v>757000000</v>
      </c>
    </row>
    <row r="91" spans="1:5" x14ac:dyDescent="0.3">
      <c r="A91" s="1">
        <v>46143</v>
      </c>
      <c r="B91" t="s">
        <v>75</v>
      </c>
      <c r="C91" t="s">
        <v>71</v>
      </c>
      <c r="D91" t="s">
        <v>72</v>
      </c>
      <c r="E91">
        <v>470000000</v>
      </c>
    </row>
    <row r="92" spans="1:5" x14ac:dyDescent="0.3">
      <c r="A92" s="1">
        <v>46174</v>
      </c>
      <c r="B92" t="s">
        <v>83</v>
      </c>
      <c r="C92" t="s">
        <v>138</v>
      </c>
      <c r="D92" t="s">
        <v>139</v>
      </c>
      <c r="E92">
        <v>650000000</v>
      </c>
    </row>
    <row r="93" spans="1:5" x14ac:dyDescent="0.3">
      <c r="A93" s="1">
        <v>46174</v>
      </c>
      <c r="B93" t="s">
        <v>83</v>
      </c>
      <c r="C93" t="s">
        <v>101</v>
      </c>
      <c r="D93" t="s">
        <v>102</v>
      </c>
      <c r="E93">
        <v>778000000</v>
      </c>
    </row>
    <row r="94" spans="1:5" x14ac:dyDescent="0.3">
      <c r="A94" s="1">
        <v>46174</v>
      </c>
      <c r="B94" t="s">
        <v>83</v>
      </c>
      <c r="C94" t="s">
        <v>109</v>
      </c>
      <c r="D94" t="s">
        <v>110</v>
      </c>
      <c r="E94">
        <v>691000000</v>
      </c>
    </row>
    <row r="95" spans="1:5" x14ac:dyDescent="0.3">
      <c r="A95" s="1">
        <v>46174</v>
      </c>
      <c r="B95" t="s">
        <v>83</v>
      </c>
      <c r="C95" t="s">
        <v>58</v>
      </c>
      <c r="D95" t="s">
        <v>59</v>
      </c>
      <c r="E95">
        <v>561000000</v>
      </c>
    </row>
    <row r="96" spans="1:5" x14ac:dyDescent="0.3">
      <c r="A96" s="1">
        <v>46174</v>
      </c>
      <c r="B96" t="s">
        <v>83</v>
      </c>
      <c r="C96" t="s">
        <v>86</v>
      </c>
      <c r="D96" t="s">
        <v>87</v>
      </c>
      <c r="E96">
        <v>848000000</v>
      </c>
    </row>
    <row r="97" spans="1:5" x14ac:dyDescent="0.3">
      <c r="A97" s="1">
        <v>46174</v>
      </c>
      <c r="B97" t="s">
        <v>83</v>
      </c>
      <c r="C97" t="s">
        <v>71</v>
      </c>
      <c r="D97" t="s">
        <v>72</v>
      </c>
      <c r="E97">
        <v>956000000</v>
      </c>
    </row>
    <row r="98" spans="1:5" x14ac:dyDescent="0.3">
      <c r="A98" s="1">
        <v>46174</v>
      </c>
      <c r="B98" t="s">
        <v>54</v>
      </c>
      <c r="C98" t="s">
        <v>138</v>
      </c>
      <c r="D98" t="s">
        <v>139</v>
      </c>
      <c r="E98">
        <v>1120000000</v>
      </c>
    </row>
    <row r="99" spans="1:5" x14ac:dyDescent="0.3">
      <c r="A99" s="1">
        <v>46174</v>
      </c>
      <c r="B99" t="s">
        <v>54</v>
      </c>
      <c r="C99" t="s">
        <v>101</v>
      </c>
      <c r="D99" t="s">
        <v>102</v>
      </c>
      <c r="E99">
        <v>709000000</v>
      </c>
    </row>
    <row r="100" spans="1:5" x14ac:dyDescent="0.3">
      <c r="A100" s="1">
        <v>46174</v>
      </c>
      <c r="B100" t="s">
        <v>54</v>
      </c>
      <c r="C100" t="s">
        <v>109</v>
      </c>
      <c r="D100" t="s">
        <v>110</v>
      </c>
      <c r="E100">
        <v>1026000000</v>
      </c>
    </row>
    <row r="101" spans="1:5" x14ac:dyDescent="0.3">
      <c r="A101" s="1">
        <v>46174</v>
      </c>
      <c r="B101" t="s">
        <v>54</v>
      </c>
      <c r="C101" t="s">
        <v>58</v>
      </c>
      <c r="D101" t="s">
        <v>59</v>
      </c>
      <c r="E101">
        <v>1069000000</v>
      </c>
    </row>
    <row r="102" spans="1:5" x14ac:dyDescent="0.3">
      <c r="A102" s="1">
        <v>46174</v>
      </c>
      <c r="B102" t="s">
        <v>54</v>
      </c>
      <c r="C102" t="s">
        <v>86</v>
      </c>
      <c r="D102" t="s">
        <v>87</v>
      </c>
      <c r="E102">
        <v>941000000</v>
      </c>
    </row>
    <row r="103" spans="1:5" x14ac:dyDescent="0.3">
      <c r="A103" s="1">
        <v>46174</v>
      </c>
      <c r="B103" t="s">
        <v>54</v>
      </c>
      <c r="C103" t="s">
        <v>71</v>
      </c>
      <c r="D103" t="s">
        <v>72</v>
      </c>
      <c r="E103">
        <v>408000000</v>
      </c>
    </row>
    <row r="104" spans="1:5" x14ac:dyDescent="0.3">
      <c r="A104" s="1">
        <v>46174</v>
      </c>
      <c r="B104" t="s">
        <v>75</v>
      </c>
      <c r="C104" t="s">
        <v>138</v>
      </c>
      <c r="D104" t="s">
        <v>139</v>
      </c>
      <c r="E104">
        <v>1083000000</v>
      </c>
    </row>
    <row r="105" spans="1:5" x14ac:dyDescent="0.3">
      <c r="A105" s="1">
        <v>46174</v>
      </c>
      <c r="B105" t="s">
        <v>75</v>
      </c>
      <c r="C105" t="s">
        <v>101</v>
      </c>
      <c r="D105" t="s">
        <v>102</v>
      </c>
      <c r="E105">
        <v>967000000</v>
      </c>
    </row>
    <row r="106" spans="1:5" x14ac:dyDescent="0.3">
      <c r="A106" s="1">
        <v>46174</v>
      </c>
      <c r="B106" t="s">
        <v>75</v>
      </c>
      <c r="C106" t="s">
        <v>109</v>
      </c>
      <c r="D106" t="s">
        <v>110</v>
      </c>
      <c r="E106">
        <v>706000000</v>
      </c>
    </row>
    <row r="107" spans="1:5" x14ac:dyDescent="0.3">
      <c r="A107" s="1">
        <v>46174</v>
      </c>
      <c r="B107" t="s">
        <v>75</v>
      </c>
      <c r="C107" t="s">
        <v>58</v>
      </c>
      <c r="D107" t="s">
        <v>59</v>
      </c>
      <c r="E107">
        <v>1079000000</v>
      </c>
    </row>
    <row r="108" spans="1:5" x14ac:dyDescent="0.3">
      <c r="A108" s="1">
        <v>46174</v>
      </c>
      <c r="B108" t="s">
        <v>75</v>
      </c>
      <c r="C108" t="s">
        <v>86</v>
      </c>
      <c r="D108" t="s">
        <v>87</v>
      </c>
      <c r="E108">
        <v>506000000</v>
      </c>
    </row>
    <row r="109" spans="1:5" x14ac:dyDescent="0.3">
      <c r="A109" s="1">
        <v>46174</v>
      </c>
      <c r="B109" t="s">
        <v>75</v>
      </c>
      <c r="C109" t="s">
        <v>71</v>
      </c>
      <c r="D109" t="s">
        <v>72</v>
      </c>
      <c r="E109">
        <v>537000000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7"/>
  <sheetViews>
    <sheetView workbookViewId="0"/>
  </sheetViews>
  <sheetFormatPr defaultRowHeight="14.4" x14ac:dyDescent="0.3"/>
  <sheetData>
    <row r="1" spans="1:9" x14ac:dyDescent="0.3">
      <c r="A1" t="s">
        <v>4</v>
      </c>
      <c r="B1" t="s">
        <v>20</v>
      </c>
      <c r="C1" t="s">
        <v>21</v>
      </c>
      <c r="D1" t="s">
        <v>22</v>
      </c>
      <c r="E1" t="s">
        <v>23</v>
      </c>
      <c r="F1" t="s">
        <v>24</v>
      </c>
      <c r="G1" t="s">
        <v>25</v>
      </c>
      <c r="H1" t="s">
        <v>26</v>
      </c>
      <c r="I1" t="s">
        <v>626</v>
      </c>
    </row>
    <row r="2" spans="1:9" x14ac:dyDescent="0.3">
      <c r="A2" t="s">
        <v>282</v>
      </c>
      <c r="B2" t="s">
        <v>283</v>
      </c>
      <c r="C2" t="s">
        <v>138</v>
      </c>
      <c r="D2" t="s">
        <v>139</v>
      </c>
      <c r="E2">
        <v>180000</v>
      </c>
      <c r="F2">
        <v>230000</v>
      </c>
      <c r="G2" t="s">
        <v>56</v>
      </c>
      <c r="H2" t="s">
        <v>129</v>
      </c>
      <c r="I2" s="1">
        <v>45315</v>
      </c>
    </row>
    <row r="3" spans="1:9" x14ac:dyDescent="0.3">
      <c r="A3" t="s">
        <v>97</v>
      </c>
      <c r="B3" t="s">
        <v>100</v>
      </c>
      <c r="C3" t="s">
        <v>101</v>
      </c>
      <c r="D3" t="s">
        <v>102</v>
      </c>
      <c r="E3">
        <v>350000</v>
      </c>
      <c r="F3">
        <v>427000</v>
      </c>
      <c r="G3" t="s">
        <v>56</v>
      </c>
      <c r="H3" t="s">
        <v>73</v>
      </c>
      <c r="I3" s="1">
        <v>45387</v>
      </c>
    </row>
    <row r="4" spans="1:9" x14ac:dyDescent="0.3">
      <c r="A4" t="s">
        <v>105</v>
      </c>
      <c r="B4" t="s">
        <v>108</v>
      </c>
      <c r="C4" t="s">
        <v>109</v>
      </c>
      <c r="D4" t="s">
        <v>110</v>
      </c>
      <c r="E4">
        <v>180000</v>
      </c>
      <c r="F4">
        <v>212000</v>
      </c>
      <c r="G4" t="s">
        <v>56</v>
      </c>
      <c r="H4" t="s">
        <v>73</v>
      </c>
      <c r="I4" s="1">
        <v>45620</v>
      </c>
    </row>
    <row r="5" spans="1:9" x14ac:dyDescent="0.3">
      <c r="A5" t="s">
        <v>220</v>
      </c>
      <c r="B5" t="s">
        <v>221</v>
      </c>
      <c r="C5" t="s">
        <v>58</v>
      </c>
      <c r="D5" t="s">
        <v>59</v>
      </c>
      <c r="E5">
        <v>180000</v>
      </c>
      <c r="F5">
        <v>234000</v>
      </c>
      <c r="G5" t="s">
        <v>56</v>
      </c>
      <c r="H5" t="s">
        <v>60</v>
      </c>
      <c r="I5" s="1">
        <v>45579</v>
      </c>
    </row>
    <row r="6" spans="1:9" x14ac:dyDescent="0.3">
      <c r="A6" t="s">
        <v>79</v>
      </c>
      <c r="B6" t="s">
        <v>85</v>
      </c>
      <c r="C6" t="s">
        <v>86</v>
      </c>
      <c r="D6" t="s">
        <v>87</v>
      </c>
      <c r="E6">
        <v>120000</v>
      </c>
      <c r="F6">
        <v>150000</v>
      </c>
      <c r="G6" t="s">
        <v>56</v>
      </c>
      <c r="H6" t="s">
        <v>60</v>
      </c>
      <c r="I6" s="1">
        <v>45329</v>
      </c>
    </row>
    <row r="7" spans="1:9" x14ac:dyDescent="0.3">
      <c r="A7" t="s">
        <v>65</v>
      </c>
      <c r="B7" t="s">
        <v>70</v>
      </c>
      <c r="C7" t="s">
        <v>71</v>
      </c>
      <c r="D7" t="s">
        <v>72</v>
      </c>
      <c r="E7">
        <v>1800000</v>
      </c>
      <c r="F7">
        <v>2430000</v>
      </c>
      <c r="G7" t="s">
        <v>56</v>
      </c>
      <c r="H7" t="s">
        <v>73</v>
      </c>
      <c r="I7" s="1">
        <v>45566</v>
      </c>
    </row>
    <row r="8" spans="1:9" x14ac:dyDescent="0.3">
      <c r="A8" t="s">
        <v>236</v>
      </c>
      <c r="B8" t="s">
        <v>237</v>
      </c>
      <c r="C8" t="s">
        <v>138</v>
      </c>
      <c r="D8" t="s">
        <v>139</v>
      </c>
      <c r="E8">
        <v>350000</v>
      </c>
      <c r="F8">
        <v>448000</v>
      </c>
      <c r="G8" t="s">
        <v>134</v>
      </c>
      <c r="H8" t="s">
        <v>73</v>
      </c>
      <c r="I8" s="1">
        <v>45647</v>
      </c>
    </row>
    <row r="9" spans="1:9" x14ac:dyDescent="0.3">
      <c r="A9" t="s">
        <v>230</v>
      </c>
      <c r="B9" t="s">
        <v>232</v>
      </c>
      <c r="C9" t="s">
        <v>101</v>
      </c>
      <c r="D9" t="s">
        <v>102</v>
      </c>
      <c r="E9">
        <v>1800000</v>
      </c>
      <c r="F9">
        <v>2196000</v>
      </c>
      <c r="G9" t="s">
        <v>56</v>
      </c>
      <c r="H9" t="s">
        <v>129</v>
      </c>
      <c r="I9" s="1">
        <v>45481</v>
      </c>
    </row>
    <row r="10" spans="1:9" x14ac:dyDescent="0.3">
      <c r="A10" t="s">
        <v>348</v>
      </c>
      <c r="B10" t="s">
        <v>349</v>
      </c>
      <c r="C10" t="s">
        <v>109</v>
      </c>
      <c r="D10" t="s">
        <v>110</v>
      </c>
      <c r="E10">
        <v>480000</v>
      </c>
      <c r="F10">
        <v>566000</v>
      </c>
      <c r="G10" t="s">
        <v>56</v>
      </c>
      <c r="H10" t="s">
        <v>60</v>
      </c>
      <c r="I10" s="1">
        <v>45316</v>
      </c>
    </row>
    <row r="11" spans="1:9" x14ac:dyDescent="0.3">
      <c r="A11" t="s">
        <v>49</v>
      </c>
      <c r="B11" t="s">
        <v>57</v>
      </c>
      <c r="C11" t="s">
        <v>58</v>
      </c>
      <c r="D11" t="s">
        <v>59</v>
      </c>
      <c r="E11">
        <v>900000</v>
      </c>
      <c r="F11">
        <v>1170000</v>
      </c>
      <c r="G11" t="s">
        <v>56</v>
      </c>
      <c r="H11" t="s">
        <v>60</v>
      </c>
      <c r="I11" s="1">
        <v>45452</v>
      </c>
    </row>
    <row r="12" spans="1:9" x14ac:dyDescent="0.3">
      <c r="A12" t="s">
        <v>311</v>
      </c>
      <c r="B12" t="s">
        <v>312</v>
      </c>
      <c r="C12" t="s">
        <v>86</v>
      </c>
      <c r="D12" t="s">
        <v>87</v>
      </c>
      <c r="E12">
        <v>350000</v>
      </c>
      <c r="F12">
        <v>437000</v>
      </c>
      <c r="G12" t="s">
        <v>56</v>
      </c>
      <c r="H12" t="s">
        <v>60</v>
      </c>
      <c r="I12" s="1">
        <v>45447</v>
      </c>
    </row>
    <row r="13" spans="1:9" x14ac:dyDescent="0.3">
      <c r="A13" t="s">
        <v>197</v>
      </c>
      <c r="B13" t="s">
        <v>198</v>
      </c>
      <c r="C13" t="s">
        <v>71</v>
      </c>
      <c r="D13" t="s">
        <v>72</v>
      </c>
      <c r="E13">
        <v>900000</v>
      </c>
      <c r="F13">
        <v>1215000</v>
      </c>
      <c r="G13" t="s">
        <v>56</v>
      </c>
      <c r="H13" t="s">
        <v>129</v>
      </c>
      <c r="I13" s="1">
        <v>45334</v>
      </c>
    </row>
    <row r="14" spans="1:9" x14ac:dyDescent="0.3">
      <c r="A14" t="s">
        <v>147</v>
      </c>
      <c r="B14" t="s">
        <v>149</v>
      </c>
      <c r="C14" t="s">
        <v>138</v>
      </c>
      <c r="D14" t="s">
        <v>139</v>
      </c>
      <c r="E14">
        <v>480000</v>
      </c>
      <c r="F14">
        <v>614000</v>
      </c>
      <c r="G14" t="s">
        <v>56</v>
      </c>
      <c r="H14" t="s">
        <v>129</v>
      </c>
      <c r="I14" s="1">
        <v>45315</v>
      </c>
    </row>
    <row r="15" spans="1:9" x14ac:dyDescent="0.3">
      <c r="A15" t="s">
        <v>315</v>
      </c>
      <c r="B15" t="s">
        <v>316</v>
      </c>
      <c r="C15" t="s">
        <v>101</v>
      </c>
      <c r="D15" t="s">
        <v>102</v>
      </c>
      <c r="E15">
        <v>1800000</v>
      </c>
      <c r="F15">
        <v>2196000</v>
      </c>
      <c r="G15" t="s">
        <v>56</v>
      </c>
      <c r="H15" t="s">
        <v>60</v>
      </c>
      <c r="I15" s="1">
        <v>45335</v>
      </c>
    </row>
    <row r="16" spans="1:9" x14ac:dyDescent="0.3">
      <c r="A16" t="s">
        <v>203</v>
      </c>
      <c r="B16" t="s">
        <v>204</v>
      </c>
      <c r="C16" t="s">
        <v>109</v>
      </c>
      <c r="D16" t="s">
        <v>110</v>
      </c>
      <c r="E16">
        <v>1800000</v>
      </c>
      <c r="F16">
        <v>2124000</v>
      </c>
      <c r="G16" t="s">
        <v>56</v>
      </c>
      <c r="H16" t="s">
        <v>73</v>
      </c>
      <c r="I16" s="1">
        <v>45433</v>
      </c>
    </row>
    <row r="17" spans="1:9" x14ac:dyDescent="0.3">
      <c r="A17" t="s">
        <v>152</v>
      </c>
      <c r="B17" t="s">
        <v>154</v>
      </c>
      <c r="C17" t="s">
        <v>58</v>
      </c>
      <c r="D17" t="s">
        <v>59</v>
      </c>
      <c r="E17">
        <v>650000</v>
      </c>
      <c r="F17">
        <v>845000</v>
      </c>
      <c r="G17" t="s">
        <v>56</v>
      </c>
      <c r="H17" t="s">
        <v>73</v>
      </c>
      <c r="I17" s="1">
        <v>45572</v>
      </c>
    </row>
    <row r="18" spans="1:9" x14ac:dyDescent="0.3">
      <c r="A18" t="s">
        <v>121</v>
      </c>
      <c r="B18" t="s">
        <v>124</v>
      </c>
      <c r="C18" t="s">
        <v>86</v>
      </c>
      <c r="D18" t="s">
        <v>87</v>
      </c>
      <c r="E18">
        <v>180000</v>
      </c>
      <c r="F18">
        <v>225000</v>
      </c>
      <c r="G18" t="s">
        <v>56</v>
      </c>
      <c r="H18" t="s">
        <v>60</v>
      </c>
      <c r="I18" s="1">
        <v>45313</v>
      </c>
    </row>
    <row r="19" spans="1:9" x14ac:dyDescent="0.3">
      <c r="A19" t="s">
        <v>113</v>
      </c>
      <c r="B19" t="s">
        <v>116</v>
      </c>
      <c r="C19" t="s">
        <v>71</v>
      </c>
      <c r="D19" t="s">
        <v>72</v>
      </c>
      <c r="E19">
        <v>480000</v>
      </c>
      <c r="F19">
        <v>648000</v>
      </c>
      <c r="G19" t="s">
        <v>56</v>
      </c>
      <c r="H19" t="s">
        <v>60</v>
      </c>
      <c r="I19" s="1">
        <v>45330</v>
      </c>
    </row>
    <row r="20" spans="1:9" x14ac:dyDescent="0.3">
      <c r="A20" t="s">
        <v>246</v>
      </c>
      <c r="B20" t="s">
        <v>248</v>
      </c>
      <c r="C20" t="s">
        <v>138</v>
      </c>
      <c r="D20" t="s">
        <v>139</v>
      </c>
      <c r="E20">
        <v>900000</v>
      </c>
      <c r="F20">
        <v>1152000</v>
      </c>
      <c r="G20" t="s">
        <v>56</v>
      </c>
      <c r="H20" t="s">
        <v>73</v>
      </c>
      <c r="I20" s="1">
        <v>45427</v>
      </c>
    </row>
    <row r="21" spans="1:9" x14ac:dyDescent="0.3">
      <c r="A21" t="s">
        <v>378</v>
      </c>
      <c r="B21" t="s">
        <v>380</v>
      </c>
      <c r="C21" t="s">
        <v>101</v>
      </c>
      <c r="D21" t="s">
        <v>102</v>
      </c>
      <c r="E21">
        <v>650000</v>
      </c>
      <c r="F21">
        <v>793000</v>
      </c>
      <c r="G21" t="s">
        <v>56</v>
      </c>
      <c r="H21" t="s">
        <v>129</v>
      </c>
      <c r="I21" s="1">
        <v>45363</v>
      </c>
    </row>
    <row r="22" spans="1:9" x14ac:dyDescent="0.3">
      <c r="A22" t="s">
        <v>132</v>
      </c>
      <c r="B22" t="s">
        <v>133</v>
      </c>
      <c r="C22" t="s">
        <v>109</v>
      </c>
      <c r="D22" t="s">
        <v>110</v>
      </c>
      <c r="E22">
        <v>350000</v>
      </c>
      <c r="F22">
        <v>413000</v>
      </c>
      <c r="G22" t="s">
        <v>134</v>
      </c>
      <c r="H22" t="s">
        <v>73</v>
      </c>
      <c r="I22" s="1">
        <v>45605</v>
      </c>
    </row>
    <row r="23" spans="1:9" x14ac:dyDescent="0.3">
      <c r="A23" t="s">
        <v>255</v>
      </c>
      <c r="B23" t="s">
        <v>257</v>
      </c>
      <c r="C23" t="s">
        <v>58</v>
      </c>
      <c r="D23" t="s">
        <v>59</v>
      </c>
      <c r="E23">
        <v>180000</v>
      </c>
      <c r="F23">
        <v>234000</v>
      </c>
      <c r="G23" t="s">
        <v>56</v>
      </c>
      <c r="H23" t="s">
        <v>60</v>
      </c>
      <c r="I23" s="1">
        <v>45586</v>
      </c>
    </row>
    <row r="24" spans="1:9" x14ac:dyDescent="0.3">
      <c r="A24" t="s">
        <v>91</v>
      </c>
      <c r="B24" t="s">
        <v>93</v>
      </c>
      <c r="C24" t="s">
        <v>86</v>
      </c>
      <c r="D24" t="s">
        <v>87</v>
      </c>
      <c r="E24">
        <v>1800000</v>
      </c>
      <c r="F24">
        <v>2250000</v>
      </c>
      <c r="G24" t="s">
        <v>56</v>
      </c>
      <c r="H24" t="s">
        <v>60</v>
      </c>
      <c r="I24" s="1">
        <v>45634</v>
      </c>
    </row>
    <row r="25" spans="1:9" x14ac:dyDescent="0.3">
      <c r="A25" t="s">
        <v>242</v>
      </c>
      <c r="B25" t="s">
        <v>243</v>
      </c>
      <c r="C25" t="s">
        <v>71</v>
      </c>
      <c r="D25" t="s">
        <v>72</v>
      </c>
      <c r="E25">
        <v>1200000</v>
      </c>
      <c r="F25">
        <v>1620000</v>
      </c>
      <c r="G25" t="s">
        <v>56</v>
      </c>
      <c r="H25" t="s">
        <v>73</v>
      </c>
      <c r="I25" s="1">
        <v>45482</v>
      </c>
    </row>
    <row r="26" spans="1:9" x14ac:dyDescent="0.3">
      <c r="A26" t="s">
        <v>136</v>
      </c>
      <c r="B26" t="s">
        <v>137</v>
      </c>
      <c r="C26" t="s">
        <v>138</v>
      </c>
      <c r="D26" t="s">
        <v>139</v>
      </c>
      <c r="E26">
        <v>1800000</v>
      </c>
      <c r="F26">
        <v>2304000</v>
      </c>
      <c r="G26" t="s">
        <v>56</v>
      </c>
      <c r="H26" t="s">
        <v>129</v>
      </c>
      <c r="I26" s="1">
        <v>45404</v>
      </c>
    </row>
    <row r="27" spans="1:9" x14ac:dyDescent="0.3">
      <c r="A27" t="s">
        <v>259</v>
      </c>
      <c r="B27" t="s">
        <v>260</v>
      </c>
      <c r="C27" t="s">
        <v>101</v>
      </c>
      <c r="D27" t="s">
        <v>102</v>
      </c>
      <c r="E27">
        <v>120000</v>
      </c>
      <c r="F27">
        <v>146000</v>
      </c>
      <c r="G27" t="s">
        <v>56</v>
      </c>
      <c r="H27" t="s">
        <v>129</v>
      </c>
      <c r="I27" s="1">
        <v>45384</v>
      </c>
    </row>
    <row r="28" spans="1:9" x14ac:dyDescent="0.3">
      <c r="A28" t="s">
        <v>167</v>
      </c>
      <c r="B28" t="s">
        <v>169</v>
      </c>
      <c r="C28" t="s">
        <v>109</v>
      </c>
      <c r="D28" t="s">
        <v>110</v>
      </c>
      <c r="E28">
        <v>900000</v>
      </c>
      <c r="F28">
        <v>1062000</v>
      </c>
      <c r="G28" t="s">
        <v>56</v>
      </c>
      <c r="H28" t="s">
        <v>60</v>
      </c>
      <c r="I28" s="1">
        <v>45415</v>
      </c>
    </row>
    <row r="29" spans="1:9" x14ac:dyDescent="0.3">
      <c r="A29" t="s">
        <v>126</v>
      </c>
      <c r="B29" t="s">
        <v>128</v>
      </c>
      <c r="C29" t="s">
        <v>58</v>
      </c>
      <c r="D29" t="s">
        <v>59</v>
      </c>
      <c r="E29">
        <v>650000</v>
      </c>
      <c r="F29">
        <v>845000</v>
      </c>
      <c r="G29" t="s">
        <v>56</v>
      </c>
      <c r="H29" t="s">
        <v>129</v>
      </c>
      <c r="I29" s="1">
        <v>45403</v>
      </c>
    </row>
    <row r="30" spans="1:9" x14ac:dyDescent="0.3">
      <c r="A30" t="s">
        <v>160</v>
      </c>
      <c r="B30" t="s">
        <v>161</v>
      </c>
      <c r="C30" t="s">
        <v>86</v>
      </c>
      <c r="D30" t="s">
        <v>87</v>
      </c>
      <c r="E30">
        <v>900000</v>
      </c>
      <c r="F30">
        <v>1125000</v>
      </c>
      <c r="G30" t="s">
        <v>56</v>
      </c>
      <c r="H30" t="s">
        <v>60</v>
      </c>
      <c r="I30" s="1">
        <v>45611</v>
      </c>
    </row>
    <row r="31" spans="1:9" x14ac:dyDescent="0.3">
      <c r="A31" t="s">
        <v>206</v>
      </c>
      <c r="B31" t="s">
        <v>207</v>
      </c>
      <c r="C31" t="s">
        <v>71</v>
      </c>
      <c r="D31" t="s">
        <v>72</v>
      </c>
      <c r="E31">
        <v>480000</v>
      </c>
      <c r="F31">
        <v>648000</v>
      </c>
      <c r="G31" t="s">
        <v>56</v>
      </c>
      <c r="H31" t="s">
        <v>73</v>
      </c>
      <c r="I31" s="1">
        <v>45359</v>
      </c>
    </row>
    <row r="32" spans="1:9" x14ac:dyDescent="0.3">
      <c r="A32" t="s">
        <v>273</v>
      </c>
      <c r="B32" t="s">
        <v>274</v>
      </c>
      <c r="C32" t="s">
        <v>138</v>
      </c>
      <c r="D32" t="s">
        <v>139</v>
      </c>
      <c r="E32">
        <v>1800000</v>
      </c>
      <c r="F32">
        <v>2304000</v>
      </c>
      <c r="G32" t="s">
        <v>56</v>
      </c>
      <c r="H32" t="s">
        <v>73</v>
      </c>
      <c r="I32" s="1">
        <v>45544</v>
      </c>
    </row>
    <row r="33" spans="1:9" x14ac:dyDescent="0.3">
      <c r="A33" t="s">
        <v>175</v>
      </c>
      <c r="B33" t="s">
        <v>177</v>
      </c>
      <c r="C33" t="s">
        <v>101</v>
      </c>
      <c r="D33" t="s">
        <v>102</v>
      </c>
      <c r="E33">
        <v>900000</v>
      </c>
      <c r="F33">
        <v>1098000</v>
      </c>
      <c r="G33" t="s">
        <v>56</v>
      </c>
      <c r="H33" t="s">
        <v>129</v>
      </c>
      <c r="I33" s="1">
        <v>45578</v>
      </c>
    </row>
    <row r="34" spans="1:9" x14ac:dyDescent="0.3">
      <c r="A34" t="s">
        <v>142</v>
      </c>
      <c r="B34" t="s">
        <v>144</v>
      </c>
      <c r="C34" t="s">
        <v>109</v>
      </c>
      <c r="D34" t="s">
        <v>110</v>
      </c>
      <c r="E34">
        <v>350000</v>
      </c>
      <c r="F34">
        <v>413000</v>
      </c>
      <c r="G34" t="s">
        <v>56</v>
      </c>
      <c r="H34" t="s">
        <v>129</v>
      </c>
      <c r="I34" s="1">
        <v>45368</v>
      </c>
    </row>
    <row r="35" spans="1:9" x14ac:dyDescent="0.3">
      <c r="A35" t="s">
        <v>210</v>
      </c>
      <c r="B35" t="s">
        <v>212</v>
      </c>
      <c r="C35" t="s">
        <v>58</v>
      </c>
      <c r="D35" t="s">
        <v>59</v>
      </c>
      <c r="E35">
        <v>180000</v>
      </c>
      <c r="F35">
        <v>234000</v>
      </c>
      <c r="G35" t="s">
        <v>56</v>
      </c>
      <c r="H35" t="s">
        <v>60</v>
      </c>
      <c r="I35" s="1">
        <v>45295</v>
      </c>
    </row>
    <row r="36" spans="1:9" x14ac:dyDescent="0.3">
      <c r="A36" t="s">
        <v>189</v>
      </c>
      <c r="B36" t="s">
        <v>191</v>
      </c>
      <c r="C36" t="s">
        <v>86</v>
      </c>
      <c r="D36" t="s">
        <v>87</v>
      </c>
      <c r="E36">
        <v>250000</v>
      </c>
      <c r="F36">
        <v>312000</v>
      </c>
      <c r="G36" t="s">
        <v>134</v>
      </c>
      <c r="H36" t="s">
        <v>73</v>
      </c>
      <c r="I36" s="1">
        <v>45610</v>
      </c>
    </row>
    <row r="37" spans="1:9" x14ac:dyDescent="0.3">
      <c r="A37" t="s">
        <v>156</v>
      </c>
      <c r="B37" t="s">
        <v>157</v>
      </c>
      <c r="C37" t="s">
        <v>71</v>
      </c>
      <c r="D37" t="s">
        <v>72</v>
      </c>
      <c r="E37">
        <v>180000</v>
      </c>
      <c r="F37">
        <v>243000</v>
      </c>
      <c r="G37" t="s">
        <v>56</v>
      </c>
      <c r="H37" t="s">
        <v>73</v>
      </c>
      <c r="I37" s="1">
        <v>45486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1"/>
  <sheetViews>
    <sheetView workbookViewId="0"/>
  </sheetViews>
  <sheetFormatPr defaultRowHeight="14.4" x14ac:dyDescent="0.3"/>
  <sheetData>
    <row r="1" spans="1:6" x14ac:dyDescent="0.3">
      <c r="A1" t="s">
        <v>3</v>
      </c>
      <c r="B1" t="s">
        <v>16</v>
      </c>
      <c r="C1" t="s">
        <v>624</v>
      </c>
      <c r="D1" t="s">
        <v>18</v>
      </c>
      <c r="E1" t="s">
        <v>13</v>
      </c>
      <c r="F1" t="s">
        <v>19</v>
      </c>
    </row>
    <row r="2" spans="1:6" x14ac:dyDescent="0.3">
      <c r="A2" t="s">
        <v>171</v>
      </c>
      <c r="B2" t="s">
        <v>172</v>
      </c>
      <c r="C2" t="s">
        <v>54</v>
      </c>
      <c r="D2" t="s">
        <v>84</v>
      </c>
      <c r="E2" t="s">
        <v>106</v>
      </c>
      <c r="F2" t="s">
        <v>56</v>
      </c>
    </row>
    <row r="3" spans="1:6" x14ac:dyDescent="0.3">
      <c r="A3" t="s">
        <v>333</v>
      </c>
      <c r="B3" t="s">
        <v>334</v>
      </c>
      <c r="C3" t="s">
        <v>75</v>
      </c>
      <c r="D3" t="s">
        <v>123</v>
      </c>
      <c r="E3" t="s">
        <v>52</v>
      </c>
      <c r="F3" t="s">
        <v>56</v>
      </c>
    </row>
    <row r="4" spans="1:6" x14ac:dyDescent="0.3">
      <c r="A4" t="s">
        <v>90</v>
      </c>
      <c r="B4" t="s">
        <v>92</v>
      </c>
      <c r="C4" t="s">
        <v>75</v>
      </c>
      <c r="D4" t="s">
        <v>84</v>
      </c>
      <c r="E4" t="s">
        <v>106</v>
      </c>
      <c r="F4" t="s">
        <v>56</v>
      </c>
    </row>
    <row r="5" spans="1:6" x14ac:dyDescent="0.3">
      <c r="A5" t="s">
        <v>64</v>
      </c>
      <c r="B5" t="s">
        <v>68</v>
      </c>
      <c r="C5" t="s">
        <v>54</v>
      </c>
      <c r="D5" t="s">
        <v>69</v>
      </c>
      <c r="E5" t="s">
        <v>81</v>
      </c>
      <c r="F5" t="s">
        <v>56</v>
      </c>
    </row>
    <row r="6" spans="1:6" x14ac:dyDescent="0.3">
      <c r="A6" t="s">
        <v>166</v>
      </c>
      <c r="B6" t="s">
        <v>168</v>
      </c>
      <c r="C6" t="s">
        <v>54</v>
      </c>
      <c r="D6" t="s">
        <v>123</v>
      </c>
      <c r="E6" t="s">
        <v>52</v>
      </c>
      <c r="F6" t="s">
        <v>56</v>
      </c>
    </row>
    <row r="7" spans="1:6" x14ac:dyDescent="0.3">
      <c r="A7" t="s">
        <v>200</v>
      </c>
      <c r="B7" t="s">
        <v>201</v>
      </c>
      <c r="C7" t="s">
        <v>75</v>
      </c>
      <c r="D7" t="s">
        <v>55</v>
      </c>
      <c r="E7" t="s">
        <v>106</v>
      </c>
      <c r="F7" t="s">
        <v>56</v>
      </c>
    </row>
    <row r="8" spans="1:6" x14ac:dyDescent="0.3">
      <c r="A8" t="s">
        <v>336</v>
      </c>
      <c r="B8" t="s">
        <v>337</v>
      </c>
      <c r="C8" t="s">
        <v>75</v>
      </c>
      <c r="D8" t="s">
        <v>84</v>
      </c>
      <c r="E8" t="s">
        <v>81</v>
      </c>
      <c r="F8" t="s">
        <v>56</v>
      </c>
    </row>
    <row r="9" spans="1:6" x14ac:dyDescent="0.3">
      <c r="A9" t="s">
        <v>78</v>
      </c>
      <c r="B9" t="s">
        <v>82</v>
      </c>
      <c r="C9" t="s">
        <v>83</v>
      </c>
      <c r="D9" t="s">
        <v>84</v>
      </c>
      <c r="E9" t="s">
        <v>81</v>
      </c>
      <c r="F9" t="s">
        <v>56</v>
      </c>
    </row>
    <row r="10" spans="1:6" x14ac:dyDescent="0.3">
      <c r="A10" t="s">
        <v>277</v>
      </c>
      <c r="B10" t="s">
        <v>278</v>
      </c>
      <c r="C10" t="s">
        <v>75</v>
      </c>
      <c r="D10" t="s">
        <v>123</v>
      </c>
      <c r="E10" t="s">
        <v>52</v>
      </c>
      <c r="F10" t="s">
        <v>218</v>
      </c>
    </row>
    <row r="11" spans="1:6" x14ac:dyDescent="0.3">
      <c r="A11" t="s">
        <v>250</v>
      </c>
      <c r="B11" t="s">
        <v>251</v>
      </c>
      <c r="C11" t="s">
        <v>54</v>
      </c>
      <c r="D11" t="s">
        <v>123</v>
      </c>
      <c r="E11" t="s">
        <v>106</v>
      </c>
      <c r="F11" t="s">
        <v>56</v>
      </c>
    </row>
    <row r="12" spans="1:6" x14ac:dyDescent="0.3">
      <c r="A12" t="s">
        <v>344</v>
      </c>
      <c r="B12" t="s">
        <v>345</v>
      </c>
      <c r="C12" t="s">
        <v>54</v>
      </c>
      <c r="D12" t="s">
        <v>84</v>
      </c>
      <c r="E12" t="s">
        <v>81</v>
      </c>
      <c r="F12" t="s">
        <v>56</v>
      </c>
    </row>
    <row r="13" spans="1:6" x14ac:dyDescent="0.3">
      <c r="A13" t="s">
        <v>269</v>
      </c>
      <c r="B13" t="s">
        <v>270</v>
      </c>
      <c r="C13" t="s">
        <v>83</v>
      </c>
      <c r="D13" t="s">
        <v>55</v>
      </c>
      <c r="E13" t="s">
        <v>106</v>
      </c>
      <c r="F13" t="s">
        <v>56</v>
      </c>
    </row>
    <row r="14" spans="1:6" x14ac:dyDescent="0.3">
      <c r="A14" t="s">
        <v>288</v>
      </c>
      <c r="B14" t="s">
        <v>289</v>
      </c>
      <c r="C14" t="s">
        <v>83</v>
      </c>
      <c r="D14" t="s">
        <v>69</v>
      </c>
      <c r="E14" t="s">
        <v>106</v>
      </c>
      <c r="F14" t="s">
        <v>56</v>
      </c>
    </row>
    <row r="15" spans="1:6" x14ac:dyDescent="0.3">
      <c r="A15" t="s">
        <v>141</v>
      </c>
      <c r="B15" t="s">
        <v>143</v>
      </c>
      <c r="C15" t="s">
        <v>75</v>
      </c>
      <c r="D15" t="s">
        <v>55</v>
      </c>
      <c r="E15" t="s">
        <v>81</v>
      </c>
      <c r="F15" t="s">
        <v>56</v>
      </c>
    </row>
    <row r="16" spans="1:6" x14ac:dyDescent="0.3">
      <c r="A16" t="s">
        <v>146</v>
      </c>
      <c r="B16" t="s">
        <v>148</v>
      </c>
      <c r="C16" t="s">
        <v>75</v>
      </c>
      <c r="D16" t="s">
        <v>69</v>
      </c>
      <c r="E16" t="s">
        <v>81</v>
      </c>
      <c r="F16" t="s">
        <v>56</v>
      </c>
    </row>
    <row r="17" spans="1:6" x14ac:dyDescent="0.3">
      <c r="A17" t="s">
        <v>326</v>
      </c>
      <c r="B17" t="s">
        <v>327</v>
      </c>
      <c r="C17" t="s">
        <v>54</v>
      </c>
      <c r="D17" t="s">
        <v>69</v>
      </c>
      <c r="E17" t="s">
        <v>81</v>
      </c>
      <c r="F17" t="s">
        <v>56</v>
      </c>
    </row>
    <row r="18" spans="1:6" x14ac:dyDescent="0.3">
      <c r="A18" t="s">
        <v>239</v>
      </c>
      <c r="B18" t="s">
        <v>240</v>
      </c>
      <c r="C18" t="s">
        <v>75</v>
      </c>
      <c r="D18" t="s">
        <v>55</v>
      </c>
      <c r="E18" t="s">
        <v>52</v>
      </c>
      <c r="F18" t="s">
        <v>56</v>
      </c>
    </row>
    <row r="19" spans="1:6" x14ac:dyDescent="0.3">
      <c r="A19" t="s">
        <v>209</v>
      </c>
      <c r="B19" t="s">
        <v>211</v>
      </c>
      <c r="C19" t="s">
        <v>54</v>
      </c>
      <c r="D19" t="s">
        <v>84</v>
      </c>
      <c r="E19" t="s">
        <v>67</v>
      </c>
      <c r="F19" t="s">
        <v>56</v>
      </c>
    </row>
    <row r="20" spans="1:6" x14ac:dyDescent="0.3">
      <c r="A20" t="s">
        <v>163</v>
      </c>
      <c r="B20" t="s">
        <v>164</v>
      </c>
      <c r="C20" t="s">
        <v>75</v>
      </c>
      <c r="D20" t="s">
        <v>69</v>
      </c>
      <c r="E20" t="s">
        <v>106</v>
      </c>
      <c r="F20" t="s">
        <v>56</v>
      </c>
    </row>
    <row r="21" spans="1:6" x14ac:dyDescent="0.3">
      <c r="A21" t="s">
        <v>330</v>
      </c>
      <c r="B21" t="s">
        <v>331</v>
      </c>
      <c r="C21" t="s">
        <v>83</v>
      </c>
      <c r="D21" t="s">
        <v>55</v>
      </c>
      <c r="E21" t="s">
        <v>106</v>
      </c>
      <c r="F21" t="s">
        <v>56</v>
      </c>
    </row>
    <row r="22" spans="1:6" x14ac:dyDescent="0.3">
      <c r="A22" t="s">
        <v>194</v>
      </c>
      <c r="B22" t="s">
        <v>195</v>
      </c>
      <c r="C22" t="s">
        <v>54</v>
      </c>
      <c r="D22" t="s">
        <v>123</v>
      </c>
      <c r="E22" t="s">
        <v>81</v>
      </c>
      <c r="F22" t="s">
        <v>56</v>
      </c>
    </row>
    <row r="23" spans="1:6" x14ac:dyDescent="0.3">
      <c r="A23" t="s">
        <v>112</v>
      </c>
      <c r="B23" t="s">
        <v>115</v>
      </c>
      <c r="C23" t="s">
        <v>75</v>
      </c>
      <c r="D23" t="s">
        <v>55</v>
      </c>
      <c r="E23" t="s">
        <v>106</v>
      </c>
      <c r="F23" t="s">
        <v>56</v>
      </c>
    </row>
    <row r="24" spans="1:6" x14ac:dyDescent="0.3">
      <c r="A24" t="s">
        <v>188</v>
      </c>
      <c r="B24" t="s">
        <v>190</v>
      </c>
      <c r="C24" t="s">
        <v>83</v>
      </c>
      <c r="D24" t="s">
        <v>123</v>
      </c>
      <c r="E24" t="s">
        <v>81</v>
      </c>
      <c r="F24" t="s">
        <v>56</v>
      </c>
    </row>
    <row r="25" spans="1:6" x14ac:dyDescent="0.3">
      <c r="A25" t="s">
        <v>300</v>
      </c>
      <c r="B25" t="s">
        <v>301</v>
      </c>
      <c r="C25" t="s">
        <v>83</v>
      </c>
      <c r="D25" t="s">
        <v>123</v>
      </c>
      <c r="E25" t="s">
        <v>52</v>
      </c>
      <c r="F25" t="s">
        <v>56</v>
      </c>
    </row>
    <row r="26" spans="1:6" x14ac:dyDescent="0.3">
      <c r="A26" t="s">
        <v>104</v>
      </c>
      <c r="B26" t="s">
        <v>107</v>
      </c>
      <c r="C26" t="s">
        <v>83</v>
      </c>
      <c r="D26" t="s">
        <v>55</v>
      </c>
      <c r="E26" t="s">
        <v>52</v>
      </c>
      <c r="F26" t="s">
        <v>56</v>
      </c>
    </row>
    <row r="27" spans="1:6" x14ac:dyDescent="0.3">
      <c r="A27" t="s">
        <v>151</v>
      </c>
      <c r="B27" t="s">
        <v>153</v>
      </c>
      <c r="C27" t="s">
        <v>75</v>
      </c>
      <c r="D27" t="s">
        <v>69</v>
      </c>
      <c r="E27" t="s">
        <v>81</v>
      </c>
      <c r="F27" t="s">
        <v>56</v>
      </c>
    </row>
    <row r="28" spans="1:6" x14ac:dyDescent="0.3">
      <c r="A28" t="s">
        <v>96</v>
      </c>
      <c r="B28" t="s">
        <v>99</v>
      </c>
      <c r="C28" t="s">
        <v>75</v>
      </c>
      <c r="D28" t="s">
        <v>55</v>
      </c>
      <c r="E28" t="s">
        <v>67</v>
      </c>
      <c r="F28" t="s">
        <v>56</v>
      </c>
    </row>
    <row r="29" spans="1:6" x14ac:dyDescent="0.3">
      <c r="A29" t="s">
        <v>174</v>
      </c>
      <c r="B29" t="s">
        <v>176</v>
      </c>
      <c r="C29" t="s">
        <v>83</v>
      </c>
      <c r="D29" t="s">
        <v>69</v>
      </c>
      <c r="E29" t="s">
        <v>67</v>
      </c>
      <c r="F29" t="s">
        <v>56</v>
      </c>
    </row>
    <row r="30" spans="1:6" x14ac:dyDescent="0.3">
      <c r="A30" t="s">
        <v>229</v>
      </c>
      <c r="B30" t="s">
        <v>231</v>
      </c>
      <c r="C30" t="s">
        <v>83</v>
      </c>
      <c r="D30" t="s">
        <v>123</v>
      </c>
      <c r="E30" t="s">
        <v>106</v>
      </c>
      <c r="F30" t="s">
        <v>56</v>
      </c>
    </row>
    <row r="31" spans="1:6" x14ac:dyDescent="0.3">
      <c r="A31" t="s">
        <v>182</v>
      </c>
      <c r="B31" t="s">
        <v>183</v>
      </c>
      <c r="C31" t="s">
        <v>75</v>
      </c>
      <c r="D31" t="s">
        <v>69</v>
      </c>
      <c r="E31" t="s">
        <v>52</v>
      </c>
      <c r="F31" t="s">
        <v>56</v>
      </c>
    </row>
    <row r="32" spans="1:6" x14ac:dyDescent="0.3">
      <c r="A32" t="s">
        <v>215</v>
      </c>
      <c r="B32" t="s">
        <v>217</v>
      </c>
      <c r="C32" t="s">
        <v>54</v>
      </c>
      <c r="D32" t="s">
        <v>69</v>
      </c>
      <c r="E32" t="s">
        <v>67</v>
      </c>
      <c r="F32" t="s">
        <v>218</v>
      </c>
    </row>
    <row r="33" spans="1:6" x14ac:dyDescent="0.3">
      <c r="A33" t="s">
        <v>245</v>
      </c>
      <c r="B33" t="s">
        <v>247</v>
      </c>
      <c r="C33" t="s">
        <v>75</v>
      </c>
      <c r="D33" t="s">
        <v>123</v>
      </c>
      <c r="E33" t="s">
        <v>106</v>
      </c>
      <c r="F33" t="s">
        <v>56</v>
      </c>
    </row>
    <row r="34" spans="1:6" x14ac:dyDescent="0.3">
      <c r="A34" t="s">
        <v>254</v>
      </c>
      <c r="B34" t="s">
        <v>256</v>
      </c>
      <c r="C34" t="s">
        <v>83</v>
      </c>
      <c r="D34" t="s">
        <v>69</v>
      </c>
      <c r="E34" t="s">
        <v>52</v>
      </c>
      <c r="F34" t="s">
        <v>56</v>
      </c>
    </row>
    <row r="35" spans="1:6" x14ac:dyDescent="0.3">
      <c r="A35" t="s">
        <v>223</v>
      </c>
      <c r="B35" t="s">
        <v>224</v>
      </c>
      <c r="C35" t="s">
        <v>83</v>
      </c>
      <c r="D35" t="s">
        <v>55</v>
      </c>
      <c r="E35" t="s">
        <v>81</v>
      </c>
      <c r="F35" t="s">
        <v>56</v>
      </c>
    </row>
    <row r="36" spans="1:6" x14ac:dyDescent="0.3">
      <c r="A36" t="s">
        <v>292</v>
      </c>
      <c r="B36" t="s">
        <v>293</v>
      </c>
      <c r="C36" t="s">
        <v>83</v>
      </c>
      <c r="D36" t="s">
        <v>69</v>
      </c>
      <c r="E36" t="s">
        <v>81</v>
      </c>
      <c r="F36" t="s">
        <v>56</v>
      </c>
    </row>
    <row r="37" spans="1:6" x14ac:dyDescent="0.3">
      <c r="A37" t="s">
        <v>48</v>
      </c>
      <c r="B37" t="s">
        <v>53</v>
      </c>
      <c r="C37" t="s">
        <v>54</v>
      </c>
      <c r="D37" t="s">
        <v>55</v>
      </c>
      <c r="E37" t="s">
        <v>52</v>
      </c>
      <c r="F37" t="s">
        <v>56</v>
      </c>
    </row>
    <row r="38" spans="1:6" x14ac:dyDescent="0.3">
      <c r="A38" t="s">
        <v>185</v>
      </c>
      <c r="B38" t="s">
        <v>186</v>
      </c>
      <c r="C38" t="s">
        <v>54</v>
      </c>
      <c r="D38" t="s">
        <v>55</v>
      </c>
      <c r="E38" t="s">
        <v>106</v>
      </c>
      <c r="F38" t="s">
        <v>56</v>
      </c>
    </row>
    <row r="39" spans="1:6" x14ac:dyDescent="0.3">
      <c r="A39" t="s">
        <v>120</v>
      </c>
      <c r="B39" t="s">
        <v>122</v>
      </c>
      <c r="C39" t="s">
        <v>54</v>
      </c>
      <c r="D39" t="s">
        <v>123</v>
      </c>
      <c r="E39" t="s">
        <v>106</v>
      </c>
      <c r="F39" t="s">
        <v>56</v>
      </c>
    </row>
    <row r="40" spans="1:6" x14ac:dyDescent="0.3">
      <c r="A40" t="s">
        <v>307</v>
      </c>
      <c r="B40" t="s">
        <v>308</v>
      </c>
      <c r="C40" t="s">
        <v>75</v>
      </c>
      <c r="D40" t="s">
        <v>123</v>
      </c>
      <c r="E40" t="s">
        <v>106</v>
      </c>
      <c r="F40" t="s">
        <v>56</v>
      </c>
    </row>
    <row r="41" spans="1:6" x14ac:dyDescent="0.3">
      <c r="A41" t="s">
        <v>262</v>
      </c>
      <c r="B41" t="s">
        <v>263</v>
      </c>
      <c r="C41" t="s">
        <v>83</v>
      </c>
      <c r="D41" t="s">
        <v>55</v>
      </c>
      <c r="E41" t="s">
        <v>67</v>
      </c>
      <c r="F41" t="s">
        <v>56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
  <sheetViews>
    <sheetView workbookViewId="0"/>
  </sheetViews>
  <sheetFormatPr defaultRowHeight="14.4" x14ac:dyDescent="0.3"/>
  <sheetData>
    <row r="1" spans="1:4" x14ac:dyDescent="0.3">
      <c r="A1" t="s">
        <v>5</v>
      </c>
      <c r="B1" t="s">
        <v>27</v>
      </c>
      <c r="C1" t="s">
        <v>624</v>
      </c>
      <c r="D1" t="s">
        <v>627</v>
      </c>
    </row>
    <row r="2" spans="1:4" x14ac:dyDescent="0.3">
      <c r="A2" t="s">
        <v>114</v>
      </c>
      <c r="B2" t="s">
        <v>117</v>
      </c>
      <c r="C2" t="s">
        <v>83</v>
      </c>
      <c r="D2" t="s">
        <v>56</v>
      </c>
    </row>
    <row r="3" spans="1:4" x14ac:dyDescent="0.3">
      <c r="A3" t="s">
        <v>80</v>
      </c>
      <c r="B3" t="s">
        <v>88</v>
      </c>
      <c r="C3" t="s">
        <v>83</v>
      </c>
      <c r="D3" t="s">
        <v>56</v>
      </c>
    </row>
    <row r="4" spans="1:4" x14ac:dyDescent="0.3">
      <c r="A4" t="s">
        <v>50</v>
      </c>
      <c r="B4" t="s">
        <v>61</v>
      </c>
      <c r="C4" t="s">
        <v>54</v>
      </c>
      <c r="D4" t="s">
        <v>56</v>
      </c>
    </row>
    <row r="5" spans="1:4" x14ac:dyDescent="0.3">
      <c r="A5" t="s">
        <v>66</v>
      </c>
      <c r="B5" t="s">
        <v>74</v>
      </c>
      <c r="C5" t="s">
        <v>75</v>
      </c>
      <c r="D5" t="s">
        <v>56</v>
      </c>
    </row>
    <row r="6" spans="1:4" x14ac:dyDescent="0.3">
      <c r="A6" t="s">
        <v>339</v>
      </c>
      <c r="B6" t="s">
        <v>341</v>
      </c>
      <c r="C6" t="s">
        <v>83</v>
      </c>
      <c r="D6" t="s">
        <v>218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7"/>
  <sheetViews>
    <sheetView workbookViewId="0"/>
  </sheetViews>
  <sheetFormatPr defaultRowHeight="14.4" x14ac:dyDescent="0.3"/>
  <sheetData>
    <row r="1" spans="1:6" x14ac:dyDescent="0.3">
      <c r="A1" t="s">
        <v>4</v>
      </c>
      <c r="B1" t="s">
        <v>20</v>
      </c>
      <c r="C1" t="s">
        <v>30</v>
      </c>
      <c r="D1" t="s">
        <v>32</v>
      </c>
      <c r="E1" t="s">
        <v>628</v>
      </c>
      <c r="F1" t="s">
        <v>613</v>
      </c>
    </row>
    <row r="2" spans="1:6" x14ac:dyDescent="0.3">
      <c r="A2" t="s">
        <v>136</v>
      </c>
      <c r="B2" t="s">
        <v>137</v>
      </c>
      <c r="C2">
        <v>410895360</v>
      </c>
      <c r="D2">
        <v>83295360</v>
      </c>
      <c r="E2">
        <v>20.271672087024779</v>
      </c>
      <c r="F2" t="b">
        <v>0</v>
      </c>
    </row>
    <row r="3" spans="1:6" x14ac:dyDescent="0.3">
      <c r="A3" t="s">
        <v>65</v>
      </c>
      <c r="B3" t="s">
        <v>70</v>
      </c>
      <c r="C3">
        <v>330164100</v>
      </c>
      <c r="D3">
        <v>70964100</v>
      </c>
      <c r="E3">
        <v>21.49358455386276</v>
      </c>
      <c r="F3" t="b">
        <v>0</v>
      </c>
    </row>
    <row r="4" spans="1:6" x14ac:dyDescent="0.3">
      <c r="A4" t="s">
        <v>230</v>
      </c>
      <c r="B4" t="s">
        <v>232</v>
      </c>
      <c r="C4">
        <v>483076080</v>
      </c>
      <c r="D4">
        <v>65476080</v>
      </c>
      <c r="E4">
        <v>13.55398925982839</v>
      </c>
      <c r="F4" t="b">
        <v>0</v>
      </c>
    </row>
    <row r="5" spans="1:6" x14ac:dyDescent="0.3">
      <c r="A5" t="s">
        <v>91</v>
      </c>
      <c r="B5" t="s">
        <v>93</v>
      </c>
      <c r="C5">
        <v>363420000</v>
      </c>
      <c r="D5">
        <v>57420000</v>
      </c>
      <c r="E5">
        <v>15.79990094105993</v>
      </c>
      <c r="F5" t="b">
        <v>1</v>
      </c>
    </row>
    <row r="6" spans="1:6" x14ac:dyDescent="0.3">
      <c r="A6" t="s">
        <v>273</v>
      </c>
      <c r="B6" t="s">
        <v>274</v>
      </c>
      <c r="C6">
        <v>305786880</v>
      </c>
      <c r="D6">
        <v>55586880</v>
      </c>
      <c r="E6">
        <v>18.178307715491261</v>
      </c>
      <c r="F6" t="b">
        <v>0</v>
      </c>
    </row>
    <row r="7" spans="1:6" x14ac:dyDescent="0.3">
      <c r="A7" t="s">
        <v>160</v>
      </c>
      <c r="B7" t="s">
        <v>161</v>
      </c>
      <c r="C7">
        <v>287977500</v>
      </c>
      <c r="D7">
        <v>50377500</v>
      </c>
      <c r="E7">
        <v>17.493554183920619</v>
      </c>
      <c r="F7" t="b">
        <v>0</v>
      </c>
    </row>
    <row r="8" spans="1:6" x14ac:dyDescent="0.3">
      <c r="A8" t="s">
        <v>203</v>
      </c>
      <c r="B8" t="s">
        <v>204</v>
      </c>
      <c r="C8">
        <v>405811440</v>
      </c>
      <c r="D8">
        <v>47611440</v>
      </c>
      <c r="E8">
        <v>11.73240458672136</v>
      </c>
      <c r="F8" t="b">
        <v>0</v>
      </c>
    </row>
    <row r="9" spans="1:6" x14ac:dyDescent="0.3">
      <c r="A9" t="s">
        <v>197</v>
      </c>
      <c r="B9" t="s">
        <v>198</v>
      </c>
      <c r="C9">
        <v>209441700</v>
      </c>
      <c r="D9">
        <v>44741700</v>
      </c>
      <c r="E9">
        <v>21.362364801278829</v>
      </c>
      <c r="F9" t="b">
        <v>1</v>
      </c>
    </row>
    <row r="10" spans="1:6" x14ac:dyDescent="0.3">
      <c r="A10" t="s">
        <v>242</v>
      </c>
      <c r="B10" t="s">
        <v>243</v>
      </c>
      <c r="C10">
        <v>200912400</v>
      </c>
      <c r="D10">
        <v>42512400</v>
      </c>
      <c r="E10">
        <v>21.159669587342549</v>
      </c>
      <c r="F10" t="b">
        <v>0</v>
      </c>
    </row>
    <row r="11" spans="1:6" x14ac:dyDescent="0.3">
      <c r="A11" t="s">
        <v>49</v>
      </c>
      <c r="B11" t="s">
        <v>57</v>
      </c>
      <c r="C11">
        <v>188042400</v>
      </c>
      <c r="D11">
        <v>37742400</v>
      </c>
      <c r="E11">
        <v>20.071217980625651</v>
      </c>
      <c r="F11" t="b">
        <v>0</v>
      </c>
    </row>
    <row r="12" spans="1:6" x14ac:dyDescent="0.3">
      <c r="A12" t="s">
        <v>152</v>
      </c>
      <c r="B12" t="s">
        <v>154</v>
      </c>
      <c r="C12">
        <v>176309250</v>
      </c>
      <c r="D12">
        <v>35259250</v>
      </c>
      <c r="E12">
        <v>19.99852531843905</v>
      </c>
      <c r="F12" t="b">
        <v>0</v>
      </c>
    </row>
    <row r="13" spans="1:6" x14ac:dyDescent="0.3">
      <c r="A13" t="s">
        <v>246</v>
      </c>
      <c r="B13" t="s">
        <v>248</v>
      </c>
      <c r="C13">
        <v>125176320</v>
      </c>
      <c r="D13">
        <v>22576320</v>
      </c>
      <c r="E13">
        <v>18.035615681943678</v>
      </c>
      <c r="F13" t="b">
        <v>1</v>
      </c>
    </row>
    <row r="14" spans="1:6" x14ac:dyDescent="0.3">
      <c r="A14" t="s">
        <v>206</v>
      </c>
      <c r="B14" t="s">
        <v>207</v>
      </c>
      <c r="C14">
        <v>98340480</v>
      </c>
      <c r="D14">
        <v>22500480</v>
      </c>
      <c r="E14">
        <v>22.880181182764211</v>
      </c>
      <c r="F14" t="b">
        <v>0</v>
      </c>
    </row>
    <row r="15" spans="1:6" x14ac:dyDescent="0.3">
      <c r="A15" t="s">
        <v>113</v>
      </c>
      <c r="B15" t="s">
        <v>116</v>
      </c>
      <c r="C15">
        <v>99500400</v>
      </c>
      <c r="D15">
        <v>21740400</v>
      </c>
      <c r="E15">
        <v>21.849560403777271</v>
      </c>
      <c r="F15" t="b">
        <v>0</v>
      </c>
    </row>
    <row r="16" spans="1:6" x14ac:dyDescent="0.3">
      <c r="A16" t="s">
        <v>175</v>
      </c>
      <c r="B16" t="s">
        <v>177</v>
      </c>
      <c r="C16">
        <v>146956320</v>
      </c>
      <c r="D16">
        <v>20956320</v>
      </c>
      <c r="E16">
        <v>14.260237327663081</v>
      </c>
      <c r="F16" t="b">
        <v>0</v>
      </c>
    </row>
    <row r="17" spans="1:6" x14ac:dyDescent="0.3">
      <c r="A17" t="s">
        <v>147</v>
      </c>
      <c r="B17" t="s">
        <v>149</v>
      </c>
      <c r="C17">
        <v>110808580</v>
      </c>
      <c r="D17">
        <v>20088580</v>
      </c>
      <c r="E17">
        <v>18.12908350598844</v>
      </c>
      <c r="F17" t="b">
        <v>0</v>
      </c>
    </row>
    <row r="18" spans="1:6" x14ac:dyDescent="0.3">
      <c r="A18" t="s">
        <v>378</v>
      </c>
      <c r="B18" t="s">
        <v>380</v>
      </c>
      <c r="C18">
        <v>146816020</v>
      </c>
      <c r="D18">
        <v>20066020</v>
      </c>
      <c r="E18">
        <v>13.667459450269799</v>
      </c>
      <c r="F18" t="b">
        <v>0</v>
      </c>
    </row>
    <row r="19" spans="1:6" x14ac:dyDescent="0.3">
      <c r="A19" t="s">
        <v>315</v>
      </c>
      <c r="B19" t="s">
        <v>316</v>
      </c>
      <c r="C19">
        <v>118100880</v>
      </c>
      <c r="D19">
        <v>19100880</v>
      </c>
      <c r="E19">
        <v>16.173359588853192</v>
      </c>
      <c r="F19" t="b">
        <v>1</v>
      </c>
    </row>
    <row r="20" spans="1:6" x14ac:dyDescent="0.3">
      <c r="A20" t="s">
        <v>167</v>
      </c>
      <c r="B20" t="s">
        <v>169</v>
      </c>
      <c r="C20">
        <v>122034420</v>
      </c>
      <c r="D20">
        <v>15834420</v>
      </c>
      <c r="E20">
        <v>12.97537203028457</v>
      </c>
      <c r="F20" t="b">
        <v>1</v>
      </c>
    </row>
    <row r="21" spans="1:6" x14ac:dyDescent="0.3">
      <c r="A21" t="s">
        <v>348</v>
      </c>
      <c r="B21" t="s">
        <v>349</v>
      </c>
      <c r="C21">
        <v>121197580</v>
      </c>
      <c r="D21">
        <v>15117580</v>
      </c>
      <c r="E21">
        <v>12.47349988341351</v>
      </c>
      <c r="F21" t="b">
        <v>0</v>
      </c>
    </row>
    <row r="22" spans="1:6" x14ac:dyDescent="0.3">
      <c r="A22" t="s">
        <v>236</v>
      </c>
      <c r="B22" t="s">
        <v>237</v>
      </c>
      <c r="C22">
        <v>82239360</v>
      </c>
      <c r="D22">
        <v>14339360</v>
      </c>
      <c r="E22">
        <v>17.436127907610182</v>
      </c>
      <c r="F22" t="b">
        <v>1</v>
      </c>
    </row>
    <row r="23" spans="1:6" x14ac:dyDescent="0.3">
      <c r="A23" t="s">
        <v>126</v>
      </c>
      <c r="B23" t="s">
        <v>128</v>
      </c>
      <c r="C23">
        <v>73971300</v>
      </c>
      <c r="D23">
        <v>14171300</v>
      </c>
      <c r="E23">
        <v>19.157835538918469</v>
      </c>
      <c r="F23" t="b">
        <v>0</v>
      </c>
    </row>
    <row r="24" spans="1:6" x14ac:dyDescent="0.3">
      <c r="A24" t="s">
        <v>220</v>
      </c>
      <c r="B24" t="s">
        <v>221</v>
      </c>
      <c r="C24">
        <v>56501640</v>
      </c>
      <c r="D24">
        <v>11141640</v>
      </c>
      <c r="E24">
        <v>19.719144435453561</v>
      </c>
      <c r="F24" t="b">
        <v>0</v>
      </c>
    </row>
    <row r="25" spans="1:6" x14ac:dyDescent="0.3">
      <c r="A25" t="s">
        <v>97</v>
      </c>
      <c r="B25" t="s">
        <v>100</v>
      </c>
      <c r="C25">
        <v>60753560</v>
      </c>
      <c r="D25">
        <v>9653560</v>
      </c>
      <c r="E25">
        <v>15.889702595205939</v>
      </c>
      <c r="F25" t="b">
        <v>0</v>
      </c>
    </row>
    <row r="26" spans="1:6" x14ac:dyDescent="0.3">
      <c r="A26" t="s">
        <v>189</v>
      </c>
      <c r="B26" t="s">
        <v>191</v>
      </c>
      <c r="C26">
        <v>50640720</v>
      </c>
      <c r="D26">
        <v>9640720</v>
      </c>
      <c r="E26">
        <v>19.037486038903079</v>
      </c>
      <c r="F26" t="b">
        <v>1</v>
      </c>
    </row>
    <row r="27" spans="1:6" x14ac:dyDescent="0.3">
      <c r="A27" t="s">
        <v>210</v>
      </c>
      <c r="B27" t="s">
        <v>212</v>
      </c>
      <c r="C27">
        <v>43161300</v>
      </c>
      <c r="D27">
        <v>8421300</v>
      </c>
      <c r="E27">
        <v>19.511228809141521</v>
      </c>
      <c r="F27" t="b">
        <v>0</v>
      </c>
    </row>
    <row r="28" spans="1:6" x14ac:dyDescent="0.3">
      <c r="A28" t="s">
        <v>311</v>
      </c>
      <c r="B28" t="s">
        <v>312</v>
      </c>
      <c r="C28">
        <v>53584940</v>
      </c>
      <c r="D28">
        <v>8084940</v>
      </c>
      <c r="E28">
        <v>15.08808258439778</v>
      </c>
      <c r="F28" t="b">
        <v>1</v>
      </c>
    </row>
    <row r="29" spans="1:6" x14ac:dyDescent="0.3">
      <c r="A29" t="s">
        <v>282</v>
      </c>
      <c r="B29" t="s">
        <v>283</v>
      </c>
      <c r="C29">
        <v>40061400</v>
      </c>
      <c r="D29">
        <v>7121400</v>
      </c>
      <c r="E29">
        <v>17.776213512258678</v>
      </c>
      <c r="F29" t="b">
        <v>0</v>
      </c>
    </row>
    <row r="30" spans="1:6" x14ac:dyDescent="0.3">
      <c r="A30" t="s">
        <v>255</v>
      </c>
      <c r="B30" t="s">
        <v>257</v>
      </c>
      <c r="C30">
        <v>38263680</v>
      </c>
      <c r="D30">
        <v>6943680</v>
      </c>
      <c r="E30">
        <v>18.14692157157911</v>
      </c>
      <c r="F30" t="b">
        <v>0</v>
      </c>
    </row>
    <row r="31" spans="1:6" x14ac:dyDescent="0.3">
      <c r="A31" t="s">
        <v>259</v>
      </c>
      <c r="B31" t="s">
        <v>260</v>
      </c>
      <c r="C31">
        <v>44832220</v>
      </c>
      <c r="D31">
        <v>6552220</v>
      </c>
      <c r="E31">
        <v>14.614980029987359</v>
      </c>
      <c r="F31" t="b">
        <v>0</v>
      </c>
    </row>
    <row r="32" spans="1:6" x14ac:dyDescent="0.3">
      <c r="A32" t="s">
        <v>79</v>
      </c>
      <c r="B32" t="s">
        <v>85</v>
      </c>
      <c r="C32">
        <v>36918000</v>
      </c>
      <c r="D32">
        <v>6198000</v>
      </c>
      <c r="E32">
        <v>16.78855842678368</v>
      </c>
      <c r="F32" t="b">
        <v>0</v>
      </c>
    </row>
    <row r="33" spans="1:6" x14ac:dyDescent="0.3">
      <c r="A33" t="s">
        <v>132</v>
      </c>
      <c r="B33" t="s">
        <v>133</v>
      </c>
      <c r="C33">
        <v>58728600</v>
      </c>
      <c r="D33">
        <v>5878600</v>
      </c>
      <c r="E33">
        <v>10.00977377291473</v>
      </c>
      <c r="F33" t="b">
        <v>1</v>
      </c>
    </row>
    <row r="34" spans="1:6" x14ac:dyDescent="0.3">
      <c r="A34" t="s">
        <v>121</v>
      </c>
      <c r="B34" t="s">
        <v>124</v>
      </c>
      <c r="C34">
        <v>20515500</v>
      </c>
      <c r="D34">
        <v>3775500</v>
      </c>
      <c r="E34">
        <v>18.403158587409521</v>
      </c>
      <c r="F34" t="b">
        <v>0</v>
      </c>
    </row>
    <row r="35" spans="1:6" x14ac:dyDescent="0.3">
      <c r="A35" t="s">
        <v>105</v>
      </c>
      <c r="B35" t="s">
        <v>108</v>
      </c>
      <c r="C35">
        <v>31303920</v>
      </c>
      <c r="D35">
        <v>3223920</v>
      </c>
      <c r="E35">
        <v>10.298774083245799</v>
      </c>
      <c r="F35" t="b">
        <v>0</v>
      </c>
    </row>
    <row r="36" spans="1:6" x14ac:dyDescent="0.3">
      <c r="A36" t="s">
        <v>156</v>
      </c>
      <c r="B36" t="s">
        <v>157</v>
      </c>
      <c r="C36">
        <v>13365000</v>
      </c>
      <c r="D36">
        <v>3105000</v>
      </c>
      <c r="E36">
        <v>23.232323232323228</v>
      </c>
      <c r="F36" t="b">
        <v>0</v>
      </c>
    </row>
    <row r="37" spans="1:6" x14ac:dyDescent="0.3">
      <c r="A37" t="s">
        <v>142</v>
      </c>
      <c r="B37" t="s">
        <v>144</v>
      </c>
      <c r="C37">
        <v>16230900</v>
      </c>
      <c r="D37">
        <v>1180900</v>
      </c>
      <c r="E37">
        <v>7.2756285849829636</v>
      </c>
      <c r="F37" t="b">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7"/>
  <sheetViews>
    <sheetView workbookViewId="0"/>
  </sheetViews>
  <sheetFormatPr defaultRowHeight="14.4" x14ac:dyDescent="0.3"/>
  <sheetData>
    <row r="1" spans="1:5" x14ac:dyDescent="0.3">
      <c r="A1" t="s">
        <v>629</v>
      </c>
      <c r="B1" t="s">
        <v>630</v>
      </c>
      <c r="C1" t="s">
        <v>631</v>
      </c>
      <c r="D1" t="s">
        <v>632</v>
      </c>
      <c r="E1" t="s">
        <v>633</v>
      </c>
    </row>
    <row r="2" spans="1:5" x14ac:dyDescent="0.3">
      <c r="A2" t="s">
        <v>94</v>
      </c>
      <c r="B2">
        <v>642593910</v>
      </c>
      <c r="C2">
        <v>14737000000</v>
      </c>
      <c r="D2">
        <v>4.3604119563004682</v>
      </c>
      <c r="E2">
        <v>71.852427822030933</v>
      </c>
    </row>
    <row r="3" spans="1:5" x14ac:dyDescent="0.3">
      <c r="A3" t="s">
        <v>158</v>
      </c>
      <c r="B3">
        <v>514718460</v>
      </c>
      <c r="C3">
        <v>13935000000</v>
      </c>
      <c r="D3">
        <v>3.693709795479009</v>
      </c>
      <c r="E3">
        <v>60.866271153967041</v>
      </c>
    </row>
    <row r="4" spans="1:5" x14ac:dyDescent="0.3">
      <c r="A4" t="s">
        <v>62</v>
      </c>
      <c r="B4">
        <v>858536650</v>
      </c>
      <c r="C4">
        <v>13134000000</v>
      </c>
      <c r="D4">
        <v>6.5367492766864634</v>
      </c>
      <c r="E4">
        <v>107.71489260668881</v>
      </c>
    </row>
    <row r="5" spans="1:5" x14ac:dyDescent="0.3">
      <c r="A5" t="s">
        <v>130</v>
      </c>
      <c r="B5">
        <v>650390560</v>
      </c>
      <c r="C5">
        <v>15034000000</v>
      </c>
      <c r="D5">
        <v>4.3261311693494742</v>
      </c>
      <c r="E5">
        <v>71.287536753305275</v>
      </c>
    </row>
    <row r="6" spans="1:5" x14ac:dyDescent="0.3">
      <c r="A6" t="s">
        <v>76</v>
      </c>
      <c r="B6">
        <v>1512309680</v>
      </c>
      <c r="C6">
        <v>13127000000</v>
      </c>
      <c r="D6">
        <v>11.520603946065361</v>
      </c>
      <c r="E6">
        <v>189.8406324440931</v>
      </c>
    </row>
    <row r="7" spans="1:5" x14ac:dyDescent="0.3">
      <c r="A7" t="s">
        <v>118</v>
      </c>
      <c r="B7">
        <v>955578890</v>
      </c>
      <c r="C7">
        <v>14635000000</v>
      </c>
      <c r="D7">
        <v>6.5294081995216944</v>
      </c>
      <c r="E7">
        <v>107.5939237114551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4"/>
  <sheetViews>
    <sheetView workbookViewId="0"/>
  </sheetViews>
  <sheetFormatPr defaultRowHeight="14.4" x14ac:dyDescent="0.3"/>
  <sheetData>
    <row r="1" spans="1:5" x14ac:dyDescent="0.3">
      <c r="A1" t="s">
        <v>634</v>
      </c>
      <c r="B1" t="s">
        <v>630</v>
      </c>
      <c r="C1" t="s">
        <v>631</v>
      </c>
      <c r="D1" t="s">
        <v>632</v>
      </c>
      <c r="E1" t="s">
        <v>633</v>
      </c>
    </row>
    <row r="2" spans="1:5" x14ac:dyDescent="0.3">
      <c r="A2" t="s">
        <v>83</v>
      </c>
      <c r="B2">
        <v>1947827200</v>
      </c>
      <c r="C2">
        <v>25689000000</v>
      </c>
      <c r="D2">
        <v>7.5823395227529291</v>
      </c>
      <c r="E2">
        <v>124.94450266184791</v>
      </c>
    </row>
    <row r="3" spans="1:5" x14ac:dyDescent="0.3">
      <c r="A3" t="s">
        <v>75</v>
      </c>
      <c r="B3">
        <v>1792218470</v>
      </c>
      <c r="C3">
        <v>29684000000</v>
      </c>
      <c r="D3">
        <v>6.0376582333917259</v>
      </c>
      <c r="E3">
        <v>99.490691883373955</v>
      </c>
    </row>
    <row r="4" spans="1:5" x14ac:dyDescent="0.3">
      <c r="A4" t="s">
        <v>54</v>
      </c>
      <c r="B4">
        <v>1394082480</v>
      </c>
      <c r="C4">
        <v>29229000000</v>
      </c>
      <c r="D4">
        <v>4.7695182182079447</v>
      </c>
      <c r="E4">
        <v>78.593827132427251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7"/>
  <sheetViews>
    <sheetView workbookViewId="0"/>
  </sheetViews>
  <sheetFormatPr defaultRowHeight="14.4" x14ac:dyDescent="0.3"/>
  <sheetData>
    <row r="1" spans="1:5" x14ac:dyDescent="0.3">
      <c r="A1" t="s">
        <v>629</v>
      </c>
      <c r="B1" t="s">
        <v>630</v>
      </c>
      <c r="C1" t="s">
        <v>631</v>
      </c>
      <c r="D1" t="s">
        <v>632</v>
      </c>
      <c r="E1" t="s">
        <v>633</v>
      </c>
    </row>
    <row r="2" spans="1:5" x14ac:dyDescent="0.3">
      <c r="A2" t="s">
        <v>139</v>
      </c>
      <c r="B2">
        <v>1038103900</v>
      </c>
      <c r="C2">
        <v>14317000000</v>
      </c>
      <c r="D2">
        <v>7.2508479430048194</v>
      </c>
      <c r="E2">
        <v>119.48206584482971</v>
      </c>
    </row>
    <row r="3" spans="1:5" x14ac:dyDescent="0.3">
      <c r="A3" t="s">
        <v>72</v>
      </c>
      <c r="B3">
        <v>951724080</v>
      </c>
      <c r="C3">
        <v>12990000000</v>
      </c>
      <c r="D3">
        <v>7.3265903002309463</v>
      </c>
      <c r="E3">
        <v>120.7301754982759</v>
      </c>
    </row>
    <row r="4" spans="1:5" x14ac:dyDescent="0.3">
      <c r="A4" t="s">
        <v>110</v>
      </c>
      <c r="B4">
        <v>754458860</v>
      </c>
      <c r="C4">
        <v>15395000000</v>
      </c>
      <c r="D4">
        <v>4.9006746346216303</v>
      </c>
      <c r="E4">
        <v>80.755069473335823</v>
      </c>
    </row>
    <row r="5" spans="1:5" x14ac:dyDescent="0.3">
      <c r="A5" t="s">
        <v>59</v>
      </c>
      <c r="B5">
        <v>576249570</v>
      </c>
      <c r="C5">
        <v>14164000000</v>
      </c>
      <c r="D5">
        <v>4.068409841852584</v>
      </c>
      <c r="E5">
        <v>67.040712538585993</v>
      </c>
    </row>
    <row r="6" spans="1:5" x14ac:dyDescent="0.3">
      <c r="A6" t="s">
        <v>87</v>
      </c>
      <c r="B6">
        <v>813056660</v>
      </c>
      <c r="C6">
        <v>14145000000</v>
      </c>
      <c r="D6">
        <v>5.7480145634499822</v>
      </c>
      <c r="E6">
        <v>94.717839892055551</v>
      </c>
    </row>
    <row r="7" spans="1:5" x14ac:dyDescent="0.3">
      <c r="A7" t="s">
        <v>102</v>
      </c>
      <c r="B7">
        <v>1000535080</v>
      </c>
      <c r="C7">
        <v>13591000000</v>
      </c>
      <c r="D7">
        <v>7.3617473327937608</v>
      </c>
      <c r="E7">
        <v>121.3095056556034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37"/>
  <sheetViews>
    <sheetView workbookViewId="0"/>
  </sheetViews>
  <sheetFormatPr defaultRowHeight="14.4" x14ac:dyDescent="0.3"/>
  <sheetData>
    <row r="1" spans="1:6" x14ac:dyDescent="0.3">
      <c r="A1" t="s">
        <v>612</v>
      </c>
      <c r="B1" t="s">
        <v>610</v>
      </c>
      <c r="C1" t="s">
        <v>609</v>
      </c>
      <c r="D1" t="s">
        <v>20</v>
      </c>
      <c r="E1" t="s">
        <v>26</v>
      </c>
      <c r="F1" t="s">
        <v>613</v>
      </c>
    </row>
    <row r="2" spans="1:6" x14ac:dyDescent="0.3">
      <c r="A2">
        <v>8.2142857142857135</v>
      </c>
      <c r="B2">
        <v>41400000</v>
      </c>
      <c r="C2">
        <v>230</v>
      </c>
      <c r="D2" t="s">
        <v>283</v>
      </c>
      <c r="E2" t="s">
        <v>129</v>
      </c>
      <c r="F2" t="b">
        <v>0</v>
      </c>
    </row>
    <row r="3" spans="1:6" x14ac:dyDescent="0.3">
      <c r="A3">
        <v>5.833333333333333</v>
      </c>
      <c r="B3">
        <v>49000000</v>
      </c>
      <c r="C3">
        <v>140</v>
      </c>
      <c r="D3" t="s">
        <v>100</v>
      </c>
      <c r="E3" t="s">
        <v>73</v>
      </c>
      <c r="F3" t="b">
        <v>0</v>
      </c>
    </row>
    <row r="4" spans="1:6" x14ac:dyDescent="0.3">
      <c r="A4">
        <v>7.7692307692307692</v>
      </c>
      <c r="B4">
        <v>36360000</v>
      </c>
      <c r="C4">
        <v>202</v>
      </c>
      <c r="D4" t="s">
        <v>108</v>
      </c>
      <c r="E4" t="s">
        <v>73</v>
      </c>
      <c r="F4" t="b">
        <v>0</v>
      </c>
    </row>
    <row r="5" spans="1:6" x14ac:dyDescent="0.3">
      <c r="A5">
        <v>6.8411214953271031</v>
      </c>
      <c r="B5">
        <v>43920000</v>
      </c>
      <c r="C5">
        <v>244</v>
      </c>
      <c r="D5" t="s">
        <v>221</v>
      </c>
      <c r="E5" t="s">
        <v>60</v>
      </c>
      <c r="F5" t="b">
        <v>0</v>
      </c>
    </row>
    <row r="6" spans="1:6" x14ac:dyDescent="0.3">
      <c r="A6">
        <v>4.698666666666667</v>
      </c>
      <c r="B6">
        <v>105720000</v>
      </c>
      <c r="C6">
        <v>881</v>
      </c>
      <c r="D6" t="s">
        <v>85</v>
      </c>
      <c r="E6" t="s">
        <v>60</v>
      </c>
      <c r="F6" t="b">
        <v>0</v>
      </c>
    </row>
    <row r="7" spans="1:6" x14ac:dyDescent="0.3">
      <c r="A7">
        <v>11.52857142857143</v>
      </c>
      <c r="B7">
        <v>484200000</v>
      </c>
      <c r="C7">
        <v>269</v>
      </c>
      <c r="D7" t="s">
        <v>70</v>
      </c>
      <c r="E7" t="s">
        <v>73</v>
      </c>
      <c r="F7" t="b">
        <v>0</v>
      </c>
    </row>
    <row r="8" spans="1:6" x14ac:dyDescent="0.3">
      <c r="A8">
        <v>16.106951871657749</v>
      </c>
      <c r="B8">
        <v>175700000</v>
      </c>
      <c r="C8">
        <v>502</v>
      </c>
      <c r="D8" t="s">
        <v>237</v>
      </c>
      <c r="E8" t="s">
        <v>73</v>
      </c>
      <c r="F8" t="b">
        <v>1</v>
      </c>
    </row>
    <row r="9" spans="1:6" x14ac:dyDescent="0.3">
      <c r="A9">
        <v>9.2195121951219523</v>
      </c>
      <c r="B9">
        <v>567000000</v>
      </c>
      <c r="C9">
        <v>315</v>
      </c>
      <c r="D9" t="s">
        <v>232</v>
      </c>
      <c r="E9" t="s">
        <v>129</v>
      </c>
      <c r="F9" t="b">
        <v>0</v>
      </c>
    </row>
    <row r="10" spans="1:6" x14ac:dyDescent="0.3">
      <c r="A10">
        <v>11.46666666666667</v>
      </c>
      <c r="B10">
        <v>123840000</v>
      </c>
      <c r="C10">
        <v>258</v>
      </c>
      <c r="D10" t="s">
        <v>349</v>
      </c>
      <c r="E10" t="s">
        <v>60</v>
      </c>
      <c r="F10" t="b">
        <v>0</v>
      </c>
    </row>
    <row r="11" spans="1:6" x14ac:dyDescent="0.3">
      <c r="A11">
        <v>6.41958041958042</v>
      </c>
      <c r="B11">
        <v>137700000</v>
      </c>
      <c r="C11">
        <v>153</v>
      </c>
      <c r="D11" t="s">
        <v>57</v>
      </c>
      <c r="E11" t="s">
        <v>60</v>
      </c>
      <c r="F11" t="b">
        <v>0</v>
      </c>
    </row>
    <row r="12" spans="1:6" x14ac:dyDescent="0.3">
      <c r="A12">
        <v>45.31707317073171</v>
      </c>
      <c r="B12">
        <v>325150000</v>
      </c>
      <c r="C12">
        <v>929</v>
      </c>
      <c r="D12" t="s">
        <v>312</v>
      </c>
      <c r="E12" t="s">
        <v>60</v>
      </c>
      <c r="F12" t="b">
        <v>1</v>
      </c>
    </row>
    <row r="13" spans="1:6" x14ac:dyDescent="0.3">
      <c r="A13">
        <v>14.671232876712329</v>
      </c>
      <c r="B13">
        <v>321300000</v>
      </c>
      <c r="C13">
        <v>357</v>
      </c>
      <c r="D13" t="s">
        <v>198</v>
      </c>
      <c r="E13" t="s">
        <v>129</v>
      </c>
      <c r="F13" t="b">
        <v>1</v>
      </c>
    </row>
    <row r="14" spans="1:6" x14ac:dyDescent="0.3">
      <c r="A14">
        <v>8.5396825396825395</v>
      </c>
      <c r="B14">
        <v>129120000</v>
      </c>
      <c r="C14">
        <v>269</v>
      </c>
      <c r="D14" t="s">
        <v>149</v>
      </c>
      <c r="E14" t="s">
        <v>129</v>
      </c>
      <c r="F14" t="b">
        <v>0</v>
      </c>
    </row>
    <row r="15" spans="1:6" x14ac:dyDescent="0.3">
      <c r="A15">
        <v>45.15789473684211</v>
      </c>
      <c r="B15">
        <v>257400000</v>
      </c>
      <c r="C15">
        <v>143</v>
      </c>
      <c r="D15" t="s">
        <v>316</v>
      </c>
      <c r="E15" t="s">
        <v>60</v>
      </c>
      <c r="F15" t="b">
        <v>1</v>
      </c>
    </row>
    <row r="16" spans="1:6" x14ac:dyDescent="0.3">
      <c r="A16">
        <v>4.345945945945946</v>
      </c>
      <c r="B16">
        <v>241200000</v>
      </c>
      <c r="C16">
        <v>134</v>
      </c>
      <c r="D16" t="s">
        <v>204</v>
      </c>
      <c r="E16" t="s">
        <v>73</v>
      </c>
      <c r="F16" t="b">
        <v>0</v>
      </c>
    </row>
    <row r="17" spans="1:6" x14ac:dyDescent="0.3">
      <c r="A17">
        <v>2.6363636363636358</v>
      </c>
      <c r="B17">
        <v>56550000</v>
      </c>
      <c r="C17">
        <v>87</v>
      </c>
      <c r="D17" t="s">
        <v>154</v>
      </c>
      <c r="E17" t="s">
        <v>73</v>
      </c>
      <c r="F17" t="b">
        <v>0</v>
      </c>
    </row>
    <row r="18" spans="1:6" x14ac:dyDescent="0.3">
      <c r="A18">
        <v>15.247058823529411</v>
      </c>
      <c r="B18">
        <v>38880000</v>
      </c>
      <c r="C18">
        <v>216</v>
      </c>
      <c r="D18" t="s">
        <v>124</v>
      </c>
      <c r="E18" t="s">
        <v>60</v>
      </c>
      <c r="F18" t="b">
        <v>0</v>
      </c>
    </row>
    <row r="19" spans="1:6" x14ac:dyDescent="0.3">
      <c r="A19">
        <v>3.5</v>
      </c>
      <c r="B19">
        <v>43680000</v>
      </c>
      <c r="C19">
        <v>91</v>
      </c>
      <c r="D19" t="s">
        <v>116</v>
      </c>
      <c r="E19" t="s">
        <v>60</v>
      </c>
      <c r="F19" t="b">
        <v>0</v>
      </c>
    </row>
    <row r="20" spans="1:6" x14ac:dyDescent="0.3">
      <c r="A20">
        <v>13.393939393939389</v>
      </c>
      <c r="B20">
        <v>198900000</v>
      </c>
      <c r="C20">
        <v>221</v>
      </c>
      <c r="D20" t="s">
        <v>248</v>
      </c>
      <c r="E20" t="s">
        <v>73</v>
      </c>
      <c r="F20" t="b">
        <v>1</v>
      </c>
    </row>
    <row r="21" spans="1:6" x14ac:dyDescent="0.3">
      <c r="A21">
        <v>5.4074074074074074</v>
      </c>
      <c r="B21">
        <v>94900000</v>
      </c>
      <c r="C21">
        <v>146</v>
      </c>
      <c r="D21" t="s">
        <v>380</v>
      </c>
      <c r="E21" t="s">
        <v>129</v>
      </c>
      <c r="F21" t="b">
        <v>0</v>
      </c>
    </row>
    <row r="22" spans="1:6" x14ac:dyDescent="0.3">
      <c r="A22">
        <v>30.04195804195804</v>
      </c>
      <c r="B22">
        <v>250600000</v>
      </c>
      <c r="C22">
        <v>716</v>
      </c>
      <c r="D22" t="s">
        <v>133</v>
      </c>
      <c r="E22" t="s">
        <v>73</v>
      </c>
      <c r="F22" t="b">
        <v>1</v>
      </c>
    </row>
    <row r="23" spans="1:6" x14ac:dyDescent="0.3">
      <c r="A23">
        <v>9.952095808383234</v>
      </c>
      <c r="B23">
        <v>49860000</v>
      </c>
      <c r="C23">
        <v>277</v>
      </c>
      <c r="D23" t="s">
        <v>257</v>
      </c>
      <c r="E23" t="s">
        <v>60</v>
      </c>
      <c r="F23" t="b">
        <v>0</v>
      </c>
    </row>
    <row r="24" spans="1:6" x14ac:dyDescent="0.3">
      <c r="A24">
        <v>12.829268292682929</v>
      </c>
      <c r="B24">
        <v>473400000</v>
      </c>
      <c r="C24">
        <v>263</v>
      </c>
      <c r="D24" t="s">
        <v>93</v>
      </c>
      <c r="E24" t="s">
        <v>60</v>
      </c>
      <c r="F24" t="b">
        <v>1</v>
      </c>
    </row>
    <row r="25" spans="1:6" x14ac:dyDescent="0.3">
      <c r="A25">
        <v>5.4725274725274726</v>
      </c>
      <c r="B25">
        <v>99600000</v>
      </c>
      <c r="C25">
        <v>83</v>
      </c>
      <c r="D25" t="s">
        <v>243</v>
      </c>
      <c r="E25" t="s">
        <v>73</v>
      </c>
      <c r="F25" t="b">
        <v>0</v>
      </c>
    </row>
    <row r="26" spans="1:6" x14ac:dyDescent="0.3">
      <c r="A26">
        <v>11.47368421052632</v>
      </c>
      <c r="B26">
        <v>588600000</v>
      </c>
      <c r="C26">
        <v>327</v>
      </c>
      <c r="D26" t="s">
        <v>137</v>
      </c>
      <c r="E26" t="s">
        <v>129</v>
      </c>
      <c r="F26" t="b">
        <v>0</v>
      </c>
    </row>
    <row r="27" spans="1:6" x14ac:dyDescent="0.3">
      <c r="A27">
        <v>2.29746835443038</v>
      </c>
      <c r="B27">
        <v>14520000</v>
      </c>
      <c r="C27">
        <v>121</v>
      </c>
      <c r="D27" t="s">
        <v>260</v>
      </c>
      <c r="E27" t="s">
        <v>129</v>
      </c>
      <c r="F27" t="b">
        <v>0</v>
      </c>
    </row>
    <row r="28" spans="1:6" x14ac:dyDescent="0.3">
      <c r="A28">
        <v>18.68181818181818</v>
      </c>
      <c r="B28">
        <v>246600000</v>
      </c>
      <c r="C28">
        <v>274</v>
      </c>
      <c r="D28" t="s">
        <v>169</v>
      </c>
      <c r="E28" t="s">
        <v>60</v>
      </c>
      <c r="F28" t="b">
        <v>1</v>
      </c>
    </row>
    <row r="29" spans="1:6" x14ac:dyDescent="0.3">
      <c r="A29">
        <v>16.62857142857143</v>
      </c>
      <c r="B29">
        <v>126100000</v>
      </c>
      <c r="C29">
        <v>194</v>
      </c>
      <c r="D29" t="s">
        <v>128</v>
      </c>
      <c r="E29" t="s">
        <v>129</v>
      </c>
      <c r="F29" t="b">
        <v>0</v>
      </c>
    </row>
    <row r="30" spans="1:6" x14ac:dyDescent="0.3">
      <c r="A30">
        <v>6.1590909090909092</v>
      </c>
      <c r="B30">
        <v>243900000</v>
      </c>
      <c r="C30">
        <v>271</v>
      </c>
      <c r="D30" t="s">
        <v>161</v>
      </c>
      <c r="E30" t="s">
        <v>60</v>
      </c>
      <c r="F30" t="b">
        <v>0</v>
      </c>
    </row>
    <row r="31" spans="1:6" x14ac:dyDescent="0.3">
      <c r="A31">
        <v>3.873417721518988</v>
      </c>
      <c r="B31">
        <v>48960000</v>
      </c>
      <c r="C31">
        <v>102</v>
      </c>
      <c r="D31" t="s">
        <v>207</v>
      </c>
      <c r="E31" t="s">
        <v>73</v>
      </c>
      <c r="F31" t="b">
        <v>0</v>
      </c>
    </row>
    <row r="32" spans="1:6" x14ac:dyDescent="0.3">
      <c r="A32">
        <v>5.3956834532374094</v>
      </c>
      <c r="B32">
        <v>225000000</v>
      </c>
      <c r="C32">
        <v>125</v>
      </c>
      <c r="D32" t="s">
        <v>274</v>
      </c>
      <c r="E32" t="s">
        <v>73</v>
      </c>
      <c r="F32" t="b">
        <v>0</v>
      </c>
    </row>
    <row r="33" spans="1:6" x14ac:dyDescent="0.3">
      <c r="A33">
        <v>10.791366906474821</v>
      </c>
      <c r="B33">
        <v>225000000</v>
      </c>
      <c r="C33">
        <v>250</v>
      </c>
      <c r="D33" t="s">
        <v>177</v>
      </c>
      <c r="E33" t="s">
        <v>129</v>
      </c>
      <c r="F33" t="b">
        <v>0</v>
      </c>
    </row>
    <row r="34" spans="1:6" x14ac:dyDescent="0.3">
      <c r="A34">
        <v>65.684210526315795</v>
      </c>
      <c r="B34">
        <v>72800000</v>
      </c>
      <c r="C34">
        <v>208</v>
      </c>
      <c r="D34" t="s">
        <v>144</v>
      </c>
      <c r="E34" t="s">
        <v>129</v>
      </c>
      <c r="F34" t="b">
        <v>0</v>
      </c>
    </row>
    <row r="35" spans="1:6" x14ac:dyDescent="0.3">
      <c r="A35">
        <v>9.5666666666666664</v>
      </c>
      <c r="B35">
        <v>51660000</v>
      </c>
      <c r="C35">
        <v>287</v>
      </c>
      <c r="D35" t="s">
        <v>212</v>
      </c>
      <c r="E35" t="s">
        <v>60</v>
      </c>
      <c r="F35" t="b">
        <v>0</v>
      </c>
    </row>
    <row r="36" spans="1:6" x14ac:dyDescent="0.3">
      <c r="A36">
        <v>22.919254658385089</v>
      </c>
      <c r="B36">
        <v>153750000</v>
      </c>
      <c r="C36">
        <v>615</v>
      </c>
      <c r="D36" t="s">
        <v>191</v>
      </c>
      <c r="E36" t="s">
        <v>73</v>
      </c>
      <c r="F36" t="b">
        <v>1</v>
      </c>
    </row>
    <row r="37" spans="1:6" x14ac:dyDescent="0.3">
      <c r="A37">
        <v>30.555555555555561</v>
      </c>
      <c r="B37">
        <v>49500000</v>
      </c>
      <c r="C37">
        <v>275</v>
      </c>
      <c r="D37" t="s">
        <v>157</v>
      </c>
      <c r="E37" t="s">
        <v>73</v>
      </c>
      <c r="F37" t="b">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5"/>
  <sheetViews>
    <sheetView workbookViewId="0"/>
  </sheetViews>
  <sheetFormatPr defaultRowHeight="14.4" x14ac:dyDescent="0.3"/>
  <sheetData>
    <row r="1" spans="1:2" x14ac:dyDescent="0.3">
      <c r="A1" t="s">
        <v>635</v>
      </c>
      <c r="B1" t="s">
        <v>636</v>
      </c>
    </row>
    <row r="2" spans="1:2" x14ac:dyDescent="0.3">
      <c r="A2" t="s">
        <v>637</v>
      </c>
      <c r="B2">
        <v>5463412100</v>
      </c>
    </row>
    <row r="3" spans="1:2" x14ac:dyDescent="0.3">
      <c r="A3" t="s">
        <v>638</v>
      </c>
      <c r="B3">
        <v>5451456100</v>
      </c>
    </row>
    <row r="4" spans="1:2" x14ac:dyDescent="0.3">
      <c r="A4" t="s">
        <v>639</v>
      </c>
      <c r="B4">
        <v>5316456100</v>
      </c>
    </row>
    <row r="5" spans="1:2" x14ac:dyDescent="0.3">
      <c r="A5" t="s">
        <v>640</v>
      </c>
      <c r="B5">
        <v>5208670650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4"/>
  <sheetViews>
    <sheetView workbookViewId="0"/>
  </sheetViews>
  <sheetFormatPr defaultRowHeight="14.4" x14ac:dyDescent="0.3"/>
  <sheetData>
    <row r="1" spans="1:2" x14ac:dyDescent="0.3">
      <c r="A1" t="s">
        <v>641</v>
      </c>
      <c r="B1" t="s">
        <v>30</v>
      </c>
    </row>
    <row r="2" spans="1:2" x14ac:dyDescent="0.3">
      <c r="A2" t="s">
        <v>642</v>
      </c>
      <c r="B2">
        <v>5208670650</v>
      </c>
    </row>
    <row r="3" spans="1:2" x14ac:dyDescent="0.3">
      <c r="A3" t="s">
        <v>643</v>
      </c>
      <c r="B3">
        <v>5355626650</v>
      </c>
    </row>
    <row r="4" spans="1:2" x14ac:dyDescent="0.3">
      <c r="A4" t="s">
        <v>644</v>
      </c>
      <c r="B4">
        <v>4915616000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4"/>
  <sheetViews>
    <sheetView workbookViewId="0"/>
  </sheetViews>
  <sheetFormatPr defaultRowHeight="14.4" x14ac:dyDescent="0.3"/>
  <sheetData>
    <row r="1" spans="1:3" x14ac:dyDescent="0.3">
      <c r="A1" t="s">
        <v>645</v>
      </c>
      <c r="B1" t="s">
        <v>646</v>
      </c>
      <c r="C1" t="s">
        <v>647</v>
      </c>
    </row>
    <row r="2" spans="1:3" x14ac:dyDescent="0.3">
      <c r="A2" t="s">
        <v>648</v>
      </c>
      <c r="B2" t="s">
        <v>649</v>
      </c>
      <c r="C2" t="s">
        <v>650</v>
      </c>
    </row>
    <row r="3" spans="1:3" x14ac:dyDescent="0.3">
      <c r="A3" t="s">
        <v>651</v>
      </c>
      <c r="B3" t="s">
        <v>649</v>
      </c>
      <c r="C3" t="s">
        <v>652</v>
      </c>
    </row>
    <row r="4" spans="1:3" x14ac:dyDescent="0.3">
      <c r="A4" t="s">
        <v>653</v>
      </c>
      <c r="B4" t="s">
        <v>649</v>
      </c>
      <c r="C4" t="s">
        <v>654</v>
      </c>
    </row>
    <row r="5" spans="1:3" x14ac:dyDescent="0.3">
      <c r="A5" t="s">
        <v>655</v>
      </c>
      <c r="B5" t="s">
        <v>649</v>
      </c>
      <c r="C5" t="s">
        <v>656</v>
      </c>
    </row>
    <row r="6" spans="1:3" x14ac:dyDescent="0.3">
      <c r="A6" t="s">
        <v>657</v>
      </c>
      <c r="B6" t="s">
        <v>649</v>
      </c>
      <c r="C6" t="s">
        <v>658</v>
      </c>
    </row>
    <row r="7" spans="1:3" x14ac:dyDescent="0.3">
      <c r="A7" t="s">
        <v>659</v>
      </c>
      <c r="B7" t="s">
        <v>649</v>
      </c>
      <c r="C7" t="s">
        <v>660</v>
      </c>
    </row>
    <row r="8" spans="1:3" x14ac:dyDescent="0.3">
      <c r="A8" t="s">
        <v>661</v>
      </c>
      <c r="B8" t="s">
        <v>649</v>
      </c>
      <c r="C8" t="s">
        <v>662</v>
      </c>
    </row>
    <row r="9" spans="1:3" x14ac:dyDescent="0.3">
      <c r="A9" t="s">
        <v>663</v>
      </c>
      <c r="B9" t="s">
        <v>649</v>
      </c>
      <c r="C9" t="s">
        <v>664</v>
      </c>
    </row>
    <row r="10" spans="1:3" x14ac:dyDescent="0.3">
      <c r="A10" t="s">
        <v>665</v>
      </c>
      <c r="B10" t="s">
        <v>649</v>
      </c>
      <c r="C10" t="s">
        <v>666</v>
      </c>
    </row>
    <row r="11" spans="1:3" x14ac:dyDescent="0.3">
      <c r="A11" t="s">
        <v>667</v>
      </c>
      <c r="B11" t="s">
        <v>668</v>
      </c>
      <c r="C11" t="s">
        <v>669</v>
      </c>
    </row>
    <row r="12" spans="1:3" x14ac:dyDescent="0.3">
      <c r="A12" t="s">
        <v>670</v>
      </c>
      <c r="B12" t="s">
        <v>668</v>
      </c>
      <c r="C12" t="s">
        <v>671</v>
      </c>
    </row>
    <row r="13" spans="1:3" x14ac:dyDescent="0.3">
      <c r="A13" t="s">
        <v>672</v>
      </c>
      <c r="B13" t="s">
        <v>668</v>
      </c>
      <c r="C13" t="s">
        <v>673</v>
      </c>
    </row>
    <row r="14" spans="1:3" x14ac:dyDescent="0.3">
      <c r="A14" t="s">
        <v>674</v>
      </c>
      <c r="B14" t="s">
        <v>668</v>
      </c>
      <c r="C14" t="s">
        <v>675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4"/>
  <sheetViews>
    <sheetView workbookViewId="0"/>
  </sheetViews>
  <sheetFormatPr defaultRowHeight="14.4" x14ac:dyDescent="0.3"/>
  <sheetData>
    <row r="1" spans="1:5" x14ac:dyDescent="0.3">
      <c r="A1" t="s">
        <v>676</v>
      </c>
      <c r="B1" t="s">
        <v>677</v>
      </c>
      <c r="C1" t="s">
        <v>678</v>
      </c>
      <c r="D1" t="s">
        <v>679</v>
      </c>
      <c r="E1" t="s">
        <v>680</v>
      </c>
    </row>
    <row r="2" spans="1:5" x14ac:dyDescent="0.3">
      <c r="A2" t="s">
        <v>681</v>
      </c>
      <c r="B2" t="s">
        <v>682</v>
      </c>
      <c r="C2" t="s">
        <v>683</v>
      </c>
      <c r="D2" t="s">
        <v>684</v>
      </c>
      <c r="E2" t="s">
        <v>685</v>
      </c>
    </row>
    <row r="3" spans="1:5" x14ac:dyDescent="0.3">
      <c r="A3" t="s">
        <v>686</v>
      </c>
      <c r="B3" t="s">
        <v>687</v>
      </c>
      <c r="C3" t="s">
        <v>688</v>
      </c>
      <c r="D3" t="s">
        <v>689</v>
      </c>
      <c r="E3" t="s">
        <v>690</v>
      </c>
    </row>
    <row r="4" spans="1:5" x14ac:dyDescent="0.3">
      <c r="A4" t="s">
        <v>691</v>
      </c>
      <c r="B4" t="s">
        <v>692</v>
      </c>
      <c r="C4" t="s">
        <v>693</v>
      </c>
      <c r="D4" t="s">
        <v>694</v>
      </c>
      <c r="E4" t="s">
        <v>695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5"/>
  <sheetViews>
    <sheetView workbookViewId="0"/>
  </sheetViews>
  <sheetFormatPr defaultRowHeight="14.4" x14ac:dyDescent="0.3"/>
  <sheetData>
    <row r="1" spans="1:5" x14ac:dyDescent="0.3">
      <c r="A1" t="s">
        <v>4</v>
      </c>
      <c r="B1" t="s">
        <v>20</v>
      </c>
      <c r="C1" t="s">
        <v>27</v>
      </c>
      <c r="D1" t="s">
        <v>609</v>
      </c>
      <c r="E1" t="s">
        <v>614</v>
      </c>
    </row>
    <row r="2" spans="1:5" x14ac:dyDescent="0.3">
      <c r="A2" t="s">
        <v>49</v>
      </c>
      <c r="B2" t="s">
        <v>57</v>
      </c>
      <c r="C2" t="s">
        <v>61</v>
      </c>
      <c r="D2">
        <v>-3</v>
      </c>
      <c r="E2">
        <v>30</v>
      </c>
    </row>
    <row r="3" spans="1:5" x14ac:dyDescent="0.3">
      <c r="A3" t="s">
        <v>152</v>
      </c>
      <c r="B3" t="s">
        <v>154</v>
      </c>
      <c r="C3" t="s">
        <v>88</v>
      </c>
      <c r="D3">
        <v>-2</v>
      </c>
      <c r="E3">
        <v>20</v>
      </c>
    </row>
    <row r="4" spans="1:5" x14ac:dyDescent="0.3">
      <c r="A4" t="s">
        <v>113</v>
      </c>
      <c r="B4" t="s">
        <v>116</v>
      </c>
      <c r="C4" t="s">
        <v>117</v>
      </c>
      <c r="D4">
        <v>-7</v>
      </c>
      <c r="E4">
        <v>10</v>
      </c>
    </row>
    <row r="5" spans="1:5" x14ac:dyDescent="0.3">
      <c r="A5" t="s">
        <v>113</v>
      </c>
      <c r="B5" t="s">
        <v>116</v>
      </c>
      <c r="C5" t="s">
        <v>61</v>
      </c>
      <c r="D5">
        <v>-1</v>
      </c>
      <c r="E5">
        <v>20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4"/>
  <sheetViews>
    <sheetView workbookViewId="0"/>
  </sheetViews>
  <sheetFormatPr defaultRowHeight="14.4" x14ac:dyDescent="0.3"/>
  <sheetData>
    <row r="1" spans="1:4" x14ac:dyDescent="0.3">
      <c r="A1" t="s">
        <v>4</v>
      </c>
      <c r="B1" t="s">
        <v>20</v>
      </c>
      <c r="C1" t="s">
        <v>609</v>
      </c>
      <c r="D1" t="s">
        <v>610</v>
      </c>
    </row>
    <row r="2" spans="1:4" x14ac:dyDescent="0.3">
      <c r="A2" t="s">
        <v>236</v>
      </c>
      <c r="B2" t="s">
        <v>237</v>
      </c>
      <c r="C2">
        <v>502</v>
      </c>
      <c r="D2">
        <v>175700000</v>
      </c>
    </row>
    <row r="3" spans="1:4" x14ac:dyDescent="0.3">
      <c r="A3" t="s">
        <v>132</v>
      </c>
      <c r="B3" t="s">
        <v>133</v>
      </c>
      <c r="C3">
        <v>716</v>
      </c>
      <c r="D3">
        <v>250600000</v>
      </c>
    </row>
    <row r="4" spans="1:4" x14ac:dyDescent="0.3">
      <c r="A4" t="s">
        <v>189</v>
      </c>
      <c r="B4" t="s">
        <v>191</v>
      </c>
      <c r="C4">
        <v>615</v>
      </c>
      <c r="D4">
        <v>153750000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12"/>
  <sheetViews>
    <sheetView workbookViewId="0"/>
  </sheetViews>
  <sheetFormatPr defaultRowHeight="14.4" x14ac:dyDescent="0.3"/>
  <sheetData>
    <row r="1" spans="1:7" x14ac:dyDescent="0.3">
      <c r="A1" t="s">
        <v>696</v>
      </c>
      <c r="B1" t="s">
        <v>697</v>
      </c>
      <c r="C1" t="s">
        <v>698</v>
      </c>
      <c r="D1" t="s">
        <v>699</v>
      </c>
      <c r="E1" t="s">
        <v>700</v>
      </c>
      <c r="F1" t="s">
        <v>701</v>
      </c>
      <c r="G1" t="s">
        <v>645</v>
      </c>
    </row>
    <row r="2" spans="1:7" x14ac:dyDescent="0.3">
      <c r="A2">
        <v>1</v>
      </c>
      <c r="B2" t="s">
        <v>696</v>
      </c>
      <c r="C2" t="s">
        <v>702</v>
      </c>
      <c r="D2" t="s">
        <v>703</v>
      </c>
      <c r="E2" t="s">
        <v>704</v>
      </c>
      <c r="F2" t="s">
        <v>705</v>
      </c>
      <c r="G2" t="s">
        <v>648</v>
      </c>
    </row>
    <row r="3" spans="1:7" x14ac:dyDescent="0.3">
      <c r="A3">
        <v>2</v>
      </c>
      <c r="B3" t="s">
        <v>706</v>
      </c>
      <c r="C3" t="s">
        <v>707</v>
      </c>
      <c r="D3" t="s">
        <v>703</v>
      </c>
      <c r="E3" t="s">
        <v>708</v>
      </c>
      <c r="F3" t="s">
        <v>709</v>
      </c>
      <c r="G3" t="s">
        <v>651</v>
      </c>
    </row>
    <row r="4" spans="1:7" x14ac:dyDescent="0.3">
      <c r="A4">
        <v>3</v>
      </c>
      <c r="B4" t="s">
        <v>706</v>
      </c>
      <c r="C4" t="s">
        <v>710</v>
      </c>
      <c r="D4" t="s">
        <v>711</v>
      </c>
      <c r="E4" t="s">
        <v>712</v>
      </c>
      <c r="F4" t="s">
        <v>713</v>
      </c>
      <c r="G4" t="s">
        <v>653</v>
      </c>
    </row>
    <row r="5" spans="1:7" x14ac:dyDescent="0.3">
      <c r="A5">
        <v>4</v>
      </c>
      <c r="B5" t="s">
        <v>706</v>
      </c>
      <c r="C5" t="s">
        <v>714</v>
      </c>
      <c r="D5" t="s">
        <v>703</v>
      </c>
      <c r="E5" t="s">
        <v>715</v>
      </c>
      <c r="F5" t="s">
        <v>716</v>
      </c>
      <c r="G5" t="s">
        <v>655</v>
      </c>
    </row>
    <row r="6" spans="1:7" x14ac:dyDescent="0.3">
      <c r="A6">
        <v>5</v>
      </c>
      <c r="B6" t="s">
        <v>706</v>
      </c>
      <c r="C6" t="s">
        <v>717</v>
      </c>
      <c r="D6" t="s">
        <v>703</v>
      </c>
      <c r="E6" t="s">
        <v>715</v>
      </c>
      <c r="F6" t="s">
        <v>718</v>
      </c>
      <c r="G6" t="s">
        <v>667</v>
      </c>
    </row>
    <row r="7" spans="1:7" x14ac:dyDescent="0.3">
      <c r="A7">
        <v>6</v>
      </c>
      <c r="B7" t="s">
        <v>706</v>
      </c>
      <c r="C7" t="s">
        <v>719</v>
      </c>
      <c r="D7" t="s">
        <v>703</v>
      </c>
      <c r="E7" t="s">
        <v>715</v>
      </c>
      <c r="F7" t="s">
        <v>720</v>
      </c>
      <c r="G7" t="s">
        <v>721</v>
      </c>
    </row>
    <row r="8" spans="1:7" x14ac:dyDescent="0.3">
      <c r="A8">
        <v>7</v>
      </c>
      <c r="B8" t="s">
        <v>706</v>
      </c>
      <c r="C8" t="s">
        <v>722</v>
      </c>
      <c r="D8" t="s">
        <v>723</v>
      </c>
      <c r="E8" t="s">
        <v>724</v>
      </c>
      <c r="F8" t="s">
        <v>725</v>
      </c>
      <c r="G8" t="s">
        <v>657</v>
      </c>
    </row>
    <row r="9" spans="1:7" x14ac:dyDescent="0.3">
      <c r="A9">
        <v>8</v>
      </c>
      <c r="B9" t="s">
        <v>706</v>
      </c>
      <c r="C9" t="s">
        <v>726</v>
      </c>
      <c r="D9" t="s">
        <v>723</v>
      </c>
      <c r="E9" t="s">
        <v>727</v>
      </c>
      <c r="F9" t="s">
        <v>728</v>
      </c>
      <c r="G9" t="s">
        <v>659</v>
      </c>
    </row>
    <row r="10" spans="1:7" x14ac:dyDescent="0.3">
      <c r="A10">
        <v>9</v>
      </c>
      <c r="B10" t="s">
        <v>696</v>
      </c>
      <c r="C10" t="s">
        <v>729</v>
      </c>
      <c r="D10" t="s">
        <v>703</v>
      </c>
      <c r="E10" t="s">
        <v>730</v>
      </c>
      <c r="F10" t="s">
        <v>731</v>
      </c>
      <c r="G10" t="s">
        <v>732</v>
      </c>
    </row>
    <row r="11" spans="1:7" x14ac:dyDescent="0.3">
      <c r="A11">
        <v>10</v>
      </c>
      <c r="B11" t="s">
        <v>696</v>
      </c>
      <c r="C11" t="s">
        <v>733</v>
      </c>
      <c r="D11" t="s">
        <v>734</v>
      </c>
      <c r="E11" t="s">
        <v>735</v>
      </c>
      <c r="F11" t="s">
        <v>736</v>
      </c>
      <c r="G11" t="s">
        <v>737</v>
      </c>
    </row>
    <row r="12" spans="1:7" x14ac:dyDescent="0.3">
      <c r="A12">
        <v>11</v>
      </c>
      <c r="B12" t="s">
        <v>696</v>
      </c>
      <c r="C12" t="s">
        <v>738</v>
      </c>
      <c r="D12" t="s">
        <v>723</v>
      </c>
      <c r="E12" t="s">
        <v>727</v>
      </c>
      <c r="F12" t="s">
        <v>739</v>
      </c>
      <c r="G12" t="s">
        <v>740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5"/>
  <sheetViews>
    <sheetView workbookViewId="0"/>
  </sheetViews>
  <sheetFormatPr defaultRowHeight="14.4" x14ac:dyDescent="0.3"/>
  <sheetData>
    <row r="1" spans="1:4" x14ac:dyDescent="0.3">
      <c r="A1" t="s">
        <v>13</v>
      </c>
      <c r="B1" t="s">
        <v>741</v>
      </c>
      <c r="C1" t="s">
        <v>742</v>
      </c>
      <c r="D1" t="s">
        <v>743</v>
      </c>
    </row>
    <row r="2" spans="1:4" x14ac:dyDescent="0.3">
      <c r="A2" t="s">
        <v>67</v>
      </c>
      <c r="B2">
        <v>109</v>
      </c>
      <c r="C2">
        <v>21</v>
      </c>
      <c r="D2">
        <v>19.3</v>
      </c>
    </row>
    <row r="3" spans="1:4" x14ac:dyDescent="0.3">
      <c r="A3" t="s">
        <v>81</v>
      </c>
      <c r="B3">
        <v>114</v>
      </c>
      <c r="C3">
        <v>17</v>
      </c>
      <c r="D3">
        <v>14.9</v>
      </c>
    </row>
    <row r="4" spans="1:4" x14ac:dyDescent="0.3">
      <c r="A4" t="s">
        <v>106</v>
      </c>
      <c r="B4">
        <v>115</v>
      </c>
      <c r="C4">
        <v>14</v>
      </c>
      <c r="D4">
        <v>12.2</v>
      </c>
    </row>
    <row r="5" spans="1:4" x14ac:dyDescent="0.3">
      <c r="A5" t="s">
        <v>52</v>
      </c>
      <c r="B5">
        <v>114</v>
      </c>
      <c r="C5">
        <v>11</v>
      </c>
      <c r="D5">
        <v>9.6</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5"/>
  <sheetViews>
    <sheetView workbookViewId="0"/>
  </sheetViews>
  <sheetFormatPr defaultRowHeight="14.4" x14ac:dyDescent="0.3"/>
  <sheetData>
    <row r="1" spans="1:2" x14ac:dyDescent="0.3">
      <c r="A1" t="s">
        <v>635</v>
      </c>
      <c r="B1" t="s">
        <v>679</v>
      </c>
    </row>
    <row r="2" spans="1:2" x14ac:dyDescent="0.3">
      <c r="A2" t="s">
        <v>637</v>
      </c>
      <c r="B2">
        <v>5463412100</v>
      </c>
    </row>
    <row r="3" spans="1:2" x14ac:dyDescent="0.3">
      <c r="A3" t="s">
        <v>744</v>
      </c>
      <c r="B3">
        <v>-11956000</v>
      </c>
    </row>
    <row r="4" spans="1:2" x14ac:dyDescent="0.3">
      <c r="A4" t="s">
        <v>745</v>
      </c>
      <c r="B4">
        <v>-135000000</v>
      </c>
    </row>
    <row r="5" spans="1:2" x14ac:dyDescent="0.3">
      <c r="A5" t="s">
        <v>746</v>
      </c>
      <c r="B5">
        <v>-107785450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45E44-B35D-4CAA-BF64-EFC22B1BE958}">
  <dimension ref="B2:CL58"/>
  <sheetViews>
    <sheetView showGridLines="0" workbookViewId="0"/>
  </sheetViews>
  <sheetFormatPr defaultRowHeight="14.4" x14ac:dyDescent="0.3"/>
  <cols>
    <col min="1" max="1" width="2.21875" style="2" customWidth="1"/>
    <col min="2" max="68" width="3.21875" style="2" customWidth="1"/>
    <col min="69" max="69" width="3.21875" style="2" hidden="1" customWidth="1"/>
    <col min="70" max="70" width="12.5546875" style="2" hidden="1" customWidth="1"/>
    <col min="71" max="71" width="11.77734375" style="2" hidden="1" customWidth="1"/>
    <col min="72" max="74" width="12" style="2" hidden="1" customWidth="1"/>
    <col min="75" max="75" width="10.6640625" style="2" hidden="1" customWidth="1"/>
    <col min="76" max="76" width="12.5546875" style="2" hidden="1" customWidth="1"/>
    <col min="77" max="77" width="11.77734375" style="2" hidden="1" customWidth="1"/>
    <col min="78" max="81" width="0" style="2" hidden="1" customWidth="1"/>
    <col min="82" max="82" width="14.6640625" style="2" hidden="1" customWidth="1"/>
    <col min="83" max="83" width="11.77734375" style="2" hidden="1" customWidth="1"/>
    <col min="84" max="87" width="0" style="2" hidden="1" customWidth="1"/>
    <col min="88" max="88" width="17.21875" style="2" hidden="1" customWidth="1"/>
    <col min="89" max="89" width="10.6640625" style="2" hidden="1" customWidth="1"/>
    <col min="90" max="104" width="0" style="2" hidden="1" customWidth="1"/>
    <col min="105" max="16384" width="8.88671875" style="2"/>
  </cols>
  <sheetData>
    <row r="2" spans="2:75" ht="25.8" x14ac:dyDescent="0.5">
      <c r="B2" s="3" t="s">
        <v>747</v>
      </c>
      <c r="BR2" s="6" t="s">
        <v>750</v>
      </c>
      <c r="BS2"/>
      <c r="BT2"/>
      <c r="BU2"/>
      <c r="BV2"/>
      <c r="BW2"/>
    </row>
    <row r="3" spans="2:75" x14ac:dyDescent="0.3">
      <c r="B3" s="4" t="s">
        <v>748</v>
      </c>
      <c r="BR3" t="s">
        <v>749</v>
      </c>
      <c r="BS3" t="s">
        <v>751</v>
      </c>
      <c r="BT3" t="s">
        <v>752</v>
      </c>
      <c r="BU3" t="s">
        <v>753</v>
      </c>
      <c r="BV3" t="s">
        <v>754</v>
      </c>
      <c r="BW3" t="s">
        <v>755</v>
      </c>
    </row>
    <row r="4" spans="2:75" x14ac:dyDescent="0.3">
      <c r="BR4" s="5">
        <v>5208670650</v>
      </c>
      <c r="BS4" s="5">
        <v>888400150</v>
      </c>
      <c r="BT4" s="5">
        <v>0.17177641308190858</v>
      </c>
      <c r="BU4" s="5">
        <v>0.87210787792760824</v>
      </c>
      <c r="BV4" s="5">
        <v>0.37272727272727274</v>
      </c>
      <c r="BW4" s="5">
        <v>-107785450</v>
      </c>
    </row>
    <row r="5" spans="2:75" x14ac:dyDescent="0.3">
      <c r="B5" s="14" t="s">
        <v>756</v>
      </c>
      <c r="C5" s="15"/>
      <c r="D5" s="15"/>
      <c r="E5" s="15"/>
      <c r="F5" s="15"/>
      <c r="G5" s="15"/>
      <c r="H5" s="15"/>
      <c r="I5" s="15"/>
      <c r="J5" s="16"/>
      <c r="L5" s="14" t="s">
        <v>757</v>
      </c>
      <c r="M5" s="15"/>
      <c r="N5" s="15"/>
      <c r="O5" s="15"/>
      <c r="P5" s="15"/>
      <c r="Q5" s="15"/>
      <c r="R5" s="15"/>
      <c r="S5" s="15"/>
      <c r="T5" s="16"/>
      <c r="V5" s="14" t="s">
        <v>758</v>
      </c>
      <c r="W5" s="15"/>
      <c r="X5" s="15"/>
      <c r="Y5" s="15"/>
      <c r="Z5" s="15"/>
      <c r="AA5" s="15"/>
      <c r="AB5" s="16"/>
      <c r="AD5" s="14" t="s">
        <v>759</v>
      </c>
      <c r="AE5" s="15"/>
      <c r="AF5" s="15"/>
      <c r="AG5" s="15"/>
      <c r="AH5" s="15"/>
      <c r="AI5" s="15"/>
      <c r="AJ5" s="16"/>
      <c r="AL5" s="14" t="s">
        <v>760</v>
      </c>
      <c r="AM5" s="15"/>
      <c r="AN5" s="15"/>
      <c r="AO5" s="15"/>
      <c r="AP5" s="15"/>
      <c r="AQ5" s="15"/>
      <c r="AR5" s="16"/>
      <c r="BR5"/>
      <c r="BS5"/>
      <c r="BT5"/>
    </row>
    <row r="6" spans="2:75" x14ac:dyDescent="0.3">
      <c r="B6" s="36">
        <f>GETPIVOTDATA("Revenue Net",'1. Executive Sales'!$BR$2)</f>
        <v>5208670650</v>
      </c>
      <c r="C6" s="37"/>
      <c r="D6" s="37"/>
      <c r="E6" s="37"/>
      <c r="F6" s="37"/>
      <c r="G6" s="37"/>
      <c r="H6" s="37"/>
      <c r="I6" s="37"/>
      <c r="J6" s="38"/>
      <c r="L6" s="45">
        <f>GETPIVOTDATA("Gross Margin",'1. Executive Sales'!$BR$2)</f>
        <v>888400150</v>
      </c>
      <c r="M6" s="46"/>
      <c r="N6" s="46"/>
      <c r="O6" s="46"/>
      <c r="P6" s="46"/>
      <c r="Q6" s="46"/>
      <c r="R6" s="46"/>
      <c r="S6" s="46"/>
      <c r="T6" s="47"/>
      <c r="V6" s="54">
        <f>GETPIVOTDATA("GM %",'1. Executive Sales'!$BR$2)</f>
        <v>0.17177641308190858</v>
      </c>
      <c r="W6" s="55"/>
      <c r="X6" s="55"/>
      <c r="Y6" s="55"/>
      <c r="Z6" s="55"/>
      <c r="AA6" s="55"/>
      <c r="AB6" s="56"/>
      <c r="AD6" s="17">
        <f>GETPIVOTDATA("Fill Rate",'1. Executive Sales'!$BR$2)</f>
        <v>0.87210787792760824</v>
      </c>
      <c r="AE6" s="18"/>
      <c r="AF6" s="18"/>
      <c r="AG6" s="18"/>
      <c r="AH6" s="18"/>
      <c r="AI6" s="18"/>
      <c r="AJ6" s="19"/>
      <c r="AL6" s="26">
        <f>GETPIVOTDATA("OTD",'1. Executive Sales'!$BR$2)</f>
        <v>0.37272727272727274</v>
      </c>
      <c r="AM6" s="27"/>
      <c r="AN6" s="27"/>
      <c r="AO6" s="27"/>
      <c r="AP6" s="27"/>
      <c r="AQ6" s="27"/>
      <c r="AR6" s="28"/>
      <c r="BR6"/>
      <c r="BS6"/>
      <c r="BT6"/>
    </row>
    <row r="7" spans="2:75" x14ac:dyDescent="0.3">
      <c r="B7" s="39"/>
      <c r="C7" s="40"/>
      <c r="D7" s="40"/>
      <c r="E7" s="40"/>
      <c r="F7" s="40"/>
      <c r="G7" s="40"/>
      <c r="H7" s="40"/>
      <c r="I7" s="40"/>
      <c r="J7" s="41"/>
      <c r="L7" s="48"/>
      <c r="M7" s="49"/>
      <c r="N7" s="49"/>
      <c r="O7" s="49"/>
      <c r="P7" s="49"/>
      <c r="Q7" s="49"/>
      <c r="R7" s="49"/>
      <c r="S7" s="49"/>
      <c r="T7" s="50"/>
      <c r="V7" s="57"/>
      <c r="W7" s="58"/>
      <c r="X7" s="58"/>
      <c r="Y7" s="58"/>
      <c r="Z7" s="58"/>
      <c r="AA7" s="58"/>
      <c r="AB7" s="59"/>
      <c r="AD7" s="20"/>
      <c r="AE7" s="21"/>
      <c r="AF7" s="21"/>
      <c r="AG7" s="21"/>
      <c r="AH7" s="21"/>
      <c r="AI7" s="21"/>
      <c r="AJ7" s="22"/>
      <c r="AL7" s="29"/>
      <c r="AM7" s="30"/>
      <c r="AN7" s="30"/>
      <c r="AO7" s="30"/>
      <c r="AP7" s="30"/>
      <c r="AQ7" s="30"/>
      <c r="AR7" s="31"/>
      <c r="BR7"/>
      <c r="BS7"/>
      <c r="BT7"/>
    </row>
    <row r="8" spans="2:75" x14ac:dyDescent="0.3">
      <c r="B8" s="42"/>
      <c r="C8" s="43"/>
      <c r="D8" s="43"/>
      <c r="E8" s="43"/>
      <c r="F8" s="43"/>
      <c r="G8" s="43"/>
      <c r="H8" s="43"/>
      <c r="I8" s="43"/>
      <c r="J8" s="44"/>
      <c r="L8" s="51"/>
      <c r="M8" s="52"/>
      <c r="N8" s="52"/>
      <c r="O8" s="52"/>
      <c r="P8" s="52"/>
      <c r="Q8" s="52"/>
      <c r="R8" s="52"/>
      <c r="S8" s="52"/>
      <c r="T8" s="53"/>
      <c r="V8" s="60"/>
      <c r="W8" s="61"/>
      <c r="X8" s="61"/>
      <c r="Y8" s="61"/>
      <c r="Z8" s="61"/>
      <c r="AA8" s="61"/>
      <c r="AB8" s="62"/>
      <c r="AD8" s="23"/>
      <c r="AE8" s="24"/>
      <c r="AF8" s="24"/>
      <c r="AG8" s="24"/>
      <c r="AH8" s="24"/>
      <c r="AI8" s="24"/>
      <c r="AJ8" s="25"/>
      <c r="AL8" s="32"/>
      <c r="AM8" s="33"/>
      <c r="AN8" s="33"/>
      <c r="AO8" s="33"/>
      <c r="AP8" s="33"/>
      <c r="AQ8" s="33"/>
      <c r="AR8" s="34"/>
      <c r="BR8"/>
      <c r="BS8"/>
      <c r="BT8"/>
    </row>
    <row r="9" spans="2:75" x14ac:dyDescent="0.3">
      <c r="BR9"/>
      <c r="BS9"/>
      <c r="BT9"/>
    </row>
    <row r="10" spans="2:75" x14ac:dyDescent="0.3">
      <c r="BR10"/>
      <c r="BS10"/>
      <c r="BT10"/>
    </row>
    <row r="11" spans="2:75" x14ac:dyDescent="0.3">
      <c r="BR11"/>
      <c r="BS11"/>
      <c r="BT11"/>
    </row>
    <row r="12" spans="2:75" x14ac:dyDescent="0.3">
      <c r="BR12"/>
      <c r="BS12"/>
      <c r="BT12"/>
    </row>
    <row r="13" spans="2:75" x14ac:dyDescent="0.3">
      <c r="BR13"/>
      <c r="BS13"/>
      <c r="BT13"/>
    </row>
    <row r="14" spans="2:75" x14ac:dyDescent="0.3">
      <c r="BR14"/>
      <c r="BS14"/>
      <c r="BT14"/>
    </row>
    <row r="15" spans="2:75" x14ac:dyDescent="0.3">
      <c r="BR15"/>
      <c r="BS15"/>
      <c r="BT15"/>
    </row>
    <row r="16" spans="2:75" x14ac:dyDescent="0.3">
      <c r="BR16"/>
      <c r="BS16"/>
      <c r="BT16"/>
    </row>
    <row r="17" spans="2:90" x14ac:dyDescent="0.3">
      <c r="BR17"/>
      <c r="BS17"/>
      <c r="BT17"/>
    </row>
    <row r="18" spans="2:90" x14ac:dyDescent="0.3">
      <c r="B18" s="35" t="s">
        <v>764</v>
      </c>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BR18"/>
      <c r="BS18"/>
      <c r="BT18"/>
    </row>
    <row r="19" spans="2:90" x14ac:dyDescent="0.3">
      <c r="BR19"/>
      <c r="BS19"/>
      <c r="BT19"/>
    </row>
    <row r="20" spans="2:90" x14ac:dyDescent="0.3">
      <c r="BR20" s="6" t="s">
        <v>761</v>
      </c>
      <c r="BS20" t="s">
        <v>749</v>
      </c>
      <c r="BT20"/>
      <c r="BX20" s="6" t="s">
        <v>761</v>
      </c>
      <c r="BY20" t="s">
        <v>749</v>
      </c>
      <c r="BZ20"/>
      <c r="CD20" s="6" t="s">
        <v>761</v>
      </c>
      <c r="CE20" t="s">
        <v>749</v>
      </c>
      <c r="CF20"/>
      <c r="CJ20" s="6" t="s">
        <v>761</v>
      </c>
      <c r="CK20" t="s">
        <v>763</v>
      </c>
      <c r="CL20"/>
    </row>
    <row r="21" spans="2:90" x14ac:dyDescent="0.3">
      <c r="BR21" s="7" t="s">
        <v>94</v>
      </c>
      <c r="BS21" s="5">
        <v>642593910</v>
      </c>
      <c r="BT21"/>
      <c r="BX21" s="7" t="s">
        <v>267</v>
      </c>
      <c r="BY21" s="5">
        <v>37712000</v>
      </c>
      <c r="BZ21"/>
      <c r="CD21" s="7" t="s">
        <v>139</v>
      </c>
      <c r="CE21" s="5">
        <v>1074967900</v>
      </c>
      <c r="CF21"/>
      <c r="CJ21" s="7" t="s">
        <v>137</v>
      </c>
      <c r="CK21" s="5">
        <v>83295360</v>
      </c>
      <c r="CL21"/>
    </row>
    <row r="22" spans="2:90" x14ac:dyDescent="0.3">
      <c r="BR22" s="7" t="s">
        <v>158</v>
      </c>
      <c r="BS22" s="5">
        <v>514718460</v>
      </c>
      <c r="BT22"/>
      <c r="BX22" s="7" t="s">
        <v>83</v>
      </c>
      <c r="BY22" s="5">
        <v>1947827200</v>
      </c>
      <c r="BZ22"/>
      <c r="CD22" s="7" t="s">
        <v>102</v>
      </c>
      <c r="CE22" s="5">
        <v>1000535080</v>
      </c>
      <c r="CF22"/>
      <c r="CJ22" s="7" t="s">
        <v>70</v>
      </c>
      <c r="CK22" s="5">
        <v>70964100</v>
      </c>
      <c r="CL22"/>
    </row>
    <row r="23" spans="2:90" x14ac:dyDescent="0.3">
      <c r="BR23" s="7" t="s">
        <v>62</v>
      </c>
      <c r="BS23" s="5">
        <v>895400650</v>
      </c>
      <c r="BT23"/>
      <c r="BX23" s="7" t="s">
        <v>75</v>
      </c>
      <c r="BY23" s="5">
        <v>1792218470</v>
      </c>
      <c r="BZ23"/>
      <c r="CD23" s="7" t="s">
        <v>72</v>
      </c>
      <c r="CE23" s="5">
        <v>951724080</v>
      </c>
      <c r="CF23"/>
      <c r="CJ23" s="7" t="s">
        <v>232</v>
      </c>
      <c r="CK23" s="5">
        <v>65476080</v>
      </c>
      <c r="CL23"/>
    </row>
    <row r="24" spans="2:90" x14ac:dyDescent="0.3">
      <c r="BR24" s="7" t="s">
        <v>130</v>
      </c>
      <c r="BS24" s="5">
        <v>688069060</v>
      </c>
      <c r="BT24"/>
      <c r="BX24" s="7" t="s">
        <v>54</v>
      </c>
      <c r="BY24" s="5">
        <v>1430912980</v>
      </c>
      <c r="BZ24"/>
      <c r="CD24" s="7" t="s">
        <v>87</v>
      </c>
      <c r="CE24" s="5">
        <v>813056660</v>
      </c>
      <c r="CF24"/>
      <c r="CJ24" s="7" t="s">
        <v>93</v>
      </c>
      <c r="CK24" s="5">
        <v>57420000</v>
      </c>
      <c r="CL24"/>
    </row>
    <row r="25" spans="2:90" x14ac:dyDescent="0.3">
      <c r="BR25" s="7" t="s">
        <v>76</v>
      </c>
      <c r="BS25" s="5">
        <v>1512309680</v>
      </c>
      <c r="BT25"/>
      <c r="BX25" s="7" t="s">
        <v>762</v>
      </c>
      <c r="BY25" s="5">
        <v>5208670650</v>
      </c>
      <c r="BZ25"/>
      <c r="CD25" s="7" t="s">
        <v>110</v>
      </c>
      <c r="CE25" s="5">
        <v>755306860</v>
      </c>
      <c r="CF25"/>
      <c r="CJ25" s="7" t="s">
        <v>274</v>
      </c>
      <c r="CK25" s="5">
        <v>55586880</v>
      </c>
      <c r="CL25"/>
    </row>
    <row r="26" spans="2:90" x14ac:dyDescent="0.3">
      <c r="BR26" s="7" t="s">
        <v>118</v>
      </c>
      <c r="BS26" s="5">
        <v>955578890</v>
      </c>
      <c r="BT26"/>
      <c r="BX26"/>
      <c r="BY26"/>
      <c r="BZ26"/>
      <c r="CD26" s="7" t="s">
        <v>59</v>
      </c>
      <c r="CE26" s="5">
        <v>576249570</v>
      </c>
      <c r="CF26"/>
      <c r="CJ26" s="7" t="s">
        <v>161</v>
      </c>
      <c r="CK26" s="5">
        <v>50377500</v>
      </c>
      <c r="CL26"/>
    </row>
    <row r="27" spans="2:90" x14ac:dyDescent="0.3">
      <c r="BR27" s="7" t="s">
        <v>762</v>
      </c>
      <c r="BS27" s="5">
        <v>5208670650</v>
      </c>
      <c r="BT27"/>
      <c r="BX27"/>
      <c r="BY27"/>
      <c r="BZ27"/>
      <c r="CD27" s="7" t="s">
        <v>267</v>
      </c>
      <c r="CE27" s="5">
        <v>36830500</v>
      </c>
      <c r="CF27"/>
      <c r="CJ27" s="7" t="s">
        <v>204</v>
      </c>
      <c r="CK27" s="5">
        <v>47611440</v>
      </c>
      <c r="CL27"/>
    </row>
    <row r="28" spans="2:90" x14ac:dyDescent="0.3">
      <c r="BR28"/>
      <c r="BS28"/>
      <c r="BT28"/>
      <c r="BX28"/>
      <c r="BY28"/>
      <c r="BZ28"/>
      <c r="CD28" s="7" t="s">
        <v>762</v>
      </c>
      <c r="CE28" s="5">
        <v>5208670650</v>
      </c>
      <c r="CF28"/>
      <c r="CJ28" s="7" t="s">
        <v>198</v>
      </c>
      <c r="CK28" s="5">
        <v>44741700</v>
      </c>
      <c r="CL28"/>
    </row>
    <row r="29" spans="2:90" x14ac:dyDescent="0.3">
      <c r="BR29"/>
      <c r="BS29"/>
      <c r="BT29"/>
      <c r="BX29"/>
      <c r="BY29"/>
      <c r="BZ29"/>
      <c r="CD29"/>
      <c r="CE29"/>
      <c r="CF29"/>
      <c r="CJ29" s="7" t="s">
        <v>243</v>
      </c>
      <c r="CK29" s="5">
        <v>42512400</v>
      </c>
      <c r="CL29"/>
    </row>
    <row r="30" spans="2:90" x14ac:dyDescent="0.3">
      <c r="BR30"/>
      <c r="BS30"/>
      <c r="BT30"/>
      <c r="BX30"/>
      <c r="BY30"/>
      <c r="BZ30"/>
      <c r="CD30"/>
      <c r="CE30"/>
      <c r="CF30"/>
      <c r="CJ30" s="7" t="s">
        <v>57</v>
      </c>
      <c r="CK30" s="5">
        <v>37742400</v>
      </c>
      <c r="CL30"/>
    </row>
    <row r="31" spans="2:90" x14ac:dyDescent="0.3">
      <c r="BR31"/>
      <c r="BS31"/>
      <c r="BT31"/>
      <c r="BX31"/>
      <c r="BY31"/>
      <c r="BZ31"/>
      <c r="CD31"/>
      <c r="CE31"/>
      <c r="CF31"/>
      <c r="CJ31" s="7" t="s">
        <v>762</v>
      </c>
      <c r="CK31" s="5">
        <v>555727860</v>
      </c>
      <c r="CL31"/>
    </row>
    <row r="32" spans="2:90" x14ac:dyDescent="0.3">
      <c r="BR32"/>
      <c r="BS32"/>
      <c r="BT32"/>
      <c r="BX32"/>
      <c r="BY32"/>
      <c r="BZ32"/>
      <c r="CD32"/>
      <c r="CE32"/>
      <c r="CF32"/>
      <c r="CJ32"/>
      <c r="CK32"/>
      <c r="CL32"/>
    </row>
    <row r="33" spans="70:90" x14ac:dyDescent="0.3">
      <c r="BR33"/>
      <c r="BS33"/>
      <c r="BT33"/>
      <c r="BX33"/>
      <c r="BY33"/>
      <c r="BZ33"/>
      <c r="CD33"/>
      <c r="CE33"/>
      <c r="CF33"/>
      <c r="CJ33"/>
      <c r="CK33"/>
      <c r="CL33"/>
    </row>
    <row r="34" spans="70:90" x14ac:dyDescent="0.3">
      <c r="BR34"/>
      <c r="BS34"/>
      <c r="BT34"/>
      <c r="BX34"/>
      <c r="BY34"/>
      <c r="BZ34"/>
      <c r="CD34"/>
      <c r="CE34"/>
      <c r="CF34"/>
      <c r="CJ34"/>
      <c r="CK34"/>
      <c r="CL34"/>
    </row>
    <row r="35" spans="70:90" x14ac:dyDescent="0.3">
      <c r="BR35"/>
      <c r="BS35"/>
      <c r="BT35"/>
      <c r="BX35"/>
      <c r="BY35"/>
      <c r="BZ35"/>
      <c r="CD35"/>
      <c r="CE35"/>
      <c r="CF35"/>
      <c r="CJ35"/>
      <c r="CK35"/>
      <c r="CL35"/>
    </row>
    <row r="36" spans="70:90" x14ac:dyDescent="0.3">
      <c r="BR36"/>
      <c r="BS36"/>
      <c r="BT36"/>
      <c r="BX36"/>
      <c r="BY36"/>
      <c r="BZ36"/>
      <c r="CD36"/>
      <c r="CE36"/>
      <c r="CF36"/>
      <c r="CJ36"/>
      <c r="CK36"/>
      <c r="CL36"/>
    </row>
    <row r="37" spans="70:90" x14ac:dyDescent="0.3">
      <c r="BR37"/>
      <c r="BS37"/>
      <c r="BT37"/>
      <c r="BX37"/>
      <c r="BY37"/>
      <c r="BZ37"/>
      <c r="CD37"/>
      <c r="CE37"/>
      <c r="CF37"/>
      <c r="CJ37"/>
      <c r="CK37"/>
      <c r="CL37"/>
    </row>
    <row r="38" spans="70:90" x14ac:dyDescent="0.3">
      <c r="CJ38"/>
      <c r="CK38"/>
    </row>
    <row r="39" spans="70:90" x14ac:dyDescent="0.3">
      <c r="CJ39"/>
      <c r="CK39"/>
    </row>
    <row r="40" spans="70:90" x14ac:dyDescent="0.3">
      <c r="CJ40"/>
      <c r="CK40"/>
    </row>
    <row r="41" spans="70:90" x14ac:dyDescent="0.3">
      <c r="CJ41"/>
      <c r="CK41"/>
    </row>
    <row r="42" spans="70:90" x14ac:dyDescent="0.3">
      <c r="CJ42"/>
      <c r="CK42"/>
    </row>
    <row r="43" spans="70:90" x14ac:dyDescent="0.3">
      <c r="CJ43"/>
      <c r="CK43"/>
    </row>
    <row r="44" spans="70:90" x14ac:dyDescent="0.3">
      <c r="CJ44"/>
      <c r="CK44"/>
    </row>
    <row r="45" spans="70:90" x14ac:dyDescent="0.3">
      <c r="CJ45"/>
      <c r="CK45"/>
    </row>
    <row r="46" spans="70:90" x14ac:dyDescent="0.3">
      <c r="CJ46"/>
      <c r="CK46"/>
    </row>
    <row r="47" spans="70:90" x14ac:dyDescent="0.3">
      <c r="CJ47"/>
      <c r="CK47"/>
    </row>
    <row r="48" spans="70:90" x14ac:dyDescent="0.3">
      <c r="CJ48"/>
      <c r="CK48"/>
    </row>
    <row r="49" spans="2:89" x14ac:dyDescent="0.3">
      <c r="B49" s="35" t="s">
        <v>765</v>
      </c>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CJ49"/>
      <c r="CK49"/>
    </row>
    <row r="50" spans="2:89" x14ac:dyDescent="0.3">
      <c r="CJ50"/>
      <c r="CK50"/>
    </row>
    <row r="51" spans="2:89" x14ac:dyDescent="0.3">
      <c r="CJ51"/>
      <c r="CK51"/>
    </row>
    <row r="52" spans="2:89" x14ac:dyDescent="0.3">
      <c r="CJ52"/>
      <c r="CK52"/>
    </row>
    <row r="53" spans="2:89" x14ac:dyDescent="0.3">
      <c r="CJ53"/>
      <c r="CK53"/>
    </row>
    <row r="54" spans="2:89" x14ac:dyDescent="0.3">
      <c r="CJ54"/>
      <c r="CK54"/>
    </row>
    <row r="55" spans="2:89" x14ac:dyDescent="0.3">
      <c r="CJ55"/>
      <c r="CK55"/>
    </row>
    <row r="56" spans="2:89" x14ac:dyDescent="0.3">
      <c r="CJ56"/>
      <c r="CK56"/>
    </row>
    <row r="57" spans="2:89" x14ac:dyDescent="0.3">
      <c r="CJ57"/>
      <c r="CK57"/>
    </row>
    <row r="58" spans="2:89" x14ac:dyDescent="0.3">
      <c r="CJ58"/>
      <c r="CK58"/>
    </row>
  </sheetData>
  <mergeCells count="12">
    <mergeCell ref="B49:AR49"/>
    <mergeCell ref="B5:J5"/>
    <mergeCell ref="B6:J8"/>
    <mergeCell ref="L5:T5"/>
    <mergeCell ref="L6:T8"/>
    <mergeCell ref="V5:AB5"/>
    <mergeCell ref="V6:AB8"/>
    <mergeCell ref="AD5:AJ5"/>
    <mergeCell ref="AD6:AJ8"/>
    <mergeCell ref="AL5:AR5"/>
    <mergeCell ref="AL6:AR8"/>
    <mergeCell ref="B18:AR18"/>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131D7-2CC4-4BC4-84C0-134C80B51F0E}">
  <dimension ref="B2:CF61"/>
  <sheetViews>
    <sheetView showGridLines="0" tabSelected="1" workbookViewId="0">
      <selection activeCell="E9" sqref="E9"/>
    </sheetView>
  </sheetViews>
  <sheetFormatPr defaultRowHeight="14.4" x14ac:dyDescent="0.3"/>
  <cols>
    <col min="1" max="1" width="2.21875" style="2" customWidth="1"/>
    <col min="2" max="2" width="14.6640625" style="2" bestFit="1" customWidth="1"/>
    <col min="3" max="3" width="15.5546875" style="2" bestFit="1" customWidth="1"/>
    <col min="4" max="4" width="13.33203125" style="2" bestFit="1" customWidth="1"/>
    <col min="5" max="5" width="10.33203125" style="2" bestFit="1" customWidth="1"/>
    <col min="6" max="6" width="8.88671875" style="2" bestFit="1" customWidth="1"/>
    <col min="7" max="7" width="10.77734375" style="2" bestFit="1" customWidth="1"/>
    <col min="8" max="21" width="3.21875" style="2" customWidth="1"/>
    <col min="22" max="22" width="8.77734375" style="2" customWidth="1"/>
    <col min="23" max="23" width="20.77734375" style="2" customWidth="1"/>
    <col min="24" max="24" width="14.77734375" style="2" customWidth="1"/>
    <col min="25" max="25" width="12.77734375" style="2" customWidth="1"/>
    <col min="26" max="26" width="10.77734375" style="2" customWidth="1"/>
    <col min="27" max="68" width="3.21875" style="2" customWidth="1"/>
    <col min="69" max="69" width="3.21875" style="2" hidden="1" customWidth="1"/>
    <col min="70" max="71" width="11" style="2" hidden="1" customWidth="1"/>
    <col min="72" max="72" width="10" style="2" hidden="1" customWidth="1"/>
    <col min="73" max="73" width="7.109375" style="2" hidden="1" customWidth="1"/>
    <col min="74" max="74" width="10.21875" style="2" hidden="1" customWidth="1"/>
    <col min="75" max="75" width="0" style="2" hidden="1" customWidth="1"/>
    <col min="76" max="76" width="12.5546875" style="2" hidden="1" customWidth="1"/>
    <col min="77" max="77" width="11" style="2" hidden="1" customWidth="1"/>
    <col min="78" max="81" width="0" style="2" hidden="1" customWidth="1"/>
    <col min="82" max="82" width="14.6640625" style="2" hidden="1" customWidth="1"/>
    <col min="83" max="83" width="11" style="2" hidden="1" customWidth="1"/>
    <col min="84" max="104" width="0" style="2" hidden="1" customWidth="1"/>
    <col min="105" max="16384" width="8.88671875" style="2"/>
  </cols>
  <sheetData>
    <row r="2" spans="2:74" ht="25.8" x14ac:dyDescent="0.5">
      <c r="B2" s="3" t="s">
        <v>766</v>
      </c>
      <c r="BR2" s="6" t="s">
        <v>750</v>
      </c>
      <c r="BS2"/>
      <c r="BT2"/>
      <c r="BU2"/>
      <c r="BV2"/>
    </row>
    <row r="3" spans="2:74" x14ac:dyDescent="0.3">
      <c r="B3" s="4" t="s">
        <v>767</v>
      </c>
      <c r="BR3" t="s">
        <v>768</v>
      </c>
      <c r="BS3" t="s">
        <v>769</v>
      </c>
      <c r="BT3" t="s">
        <v>770</v>
      </c>
      <c r="BU3" t="s">
        <v>771</v>
      </c>
      <c r="BV3" t="s">
        <v>772</v>
      </c>
    </row>
    <row r="4" spans="2:74" x14ac:dyDescent="0.3">
      <c r="BR4" s="5">
        <v>6391770000</v>
      </c>
      <c r="BS4" s="5">
        <v>2402800000</v>
      </c>
      <c r="BT4" s="5">
        <v>580050000</v>
      </c>
      <c r="BU4" s="5">
        <v>4</v>
      </c>
      <c r="BV4" s="5">
        <v>40</v>
      </c>
    </row>
    <row r="5" spans="2:74" x14ac:dyDescent="0.3">
      <c r="B5" s="14" t="s">
        <v>773</v>
      </c>
      <c r="C5" s="15"/>
      <c r="D5" s="15"/>
      <c r="E5" s="15"/>
      <c r="F5" s="15"/>
      <c r="G5" s="15"/>
      <c r="H5" s="15"/>
      <c r="I5" s="15"/>
      <c r="J5" s="16"/>
      <c r="L5" s="14" t="s">
        <v>774</v>
      </c>
      <c r="M5" s="15"/>
      <c r="N5" s="15"/>
      <c r="O5" s="15"/>
      <c r="P5" s="15"/>
      <c r="Q5" s="15"/>
      <c r="R5" s="15"/>
      <c r="S5" s="15"/>
      <c r="T5" s="16"/>
      <c r="V5" s="14" t="s">
        <v>775</v>
      </c>
      <c r="W5" s="15"/>
      <c r="X5" s="15"/>
      <c r="Y5" s="15"/>
      <c r="Z5" s="15"/>
      <c r="AA5" s="15"/>
      <c r="AB5" s="16"/>
      <c r="AD5" s="14" t="s">
        <v>776</v>
      </c>
      <c r="AE5" s="15"/>
      <c r="AF5" s="15"/>
      <c r="AG5" s="15"/>
      <c r="AH5" s="15"/>
      <c r="AI5" s="15"/>
      <c r="AJ5" s="16"/>
      <c r="AL5" s="14" t="s">
        <v>777</v>
      </c>
      <c r="AM5" s="15"/>
      <c r="AN5" s="15"/>
      <c r="AO5" s="15"/>
      <c r="AP5" s="15"/>
      <c r="AQ5" s="15"/>
      <c r="AR5" s="16"/>
      <c r="BR5"/>
      <c r="BS5"/>
      <c r="BT5"/>
    </row>
    <row r="6" spans="2:74" x14ac:dyDescent="0.3">
      <c r="B6" s="83">
        <f>GETPIVOTDATA("Ton",'2. Inventory'!$BR$2)</f>
        <v>6391770000</v>
      </c>
      <c r="C6" s="84"/>
      <c r="D6" s="84"/>
      <c r="E6" s="84"/>
      <c r="F6" s="84"/>
      <c r="G6" s="84"/>
      <c r="H6" s="84"/>
      <c r="I6" s="84"/>
      <c r="J6" s="85"/>
      <c r="L6" s="65">
        <f>GETPIVOTDATA("MacKet",'2. Inventory'!$BR$2)</f>
        <v>2402800000</v>
      </c>
      <c r="M6" s="66"/>
      <c r="N6" s="66"/>
      <c r="O6" s="66"/>
      <c r="P6" s="66"/>
      <c r="Q6" s="66"/>
      <c r="R6" s="66"/>
      <c r="S6" s="66"/>
      <c r="T6" s="67"/>
      <c r="V6" s="92">
        <f>GETPIVOTDATA("Disc",'2. Inventory'!$BR$2)</f>
        <v>580050000</v>
      </c>
      <c r="W6" s="93"/>
      <c r="X6" s="93"/>
      <c r="Y6" s="93"/>
      <c r="Z6" s="93"/>
      <c r="AA6" s="93"/>
      <c r="AB6" s="94"/>
      <c r="AD6" s="65">
        <f>GETPIVOTDATA("TonAm",'2. Inventory'!$BR$2)</f>
        <v>4</v>
      </c>
      <c r="AE6" s="66"/>
      <c r="AF6" s="66"/>
      <c r="AG6" s="66"/>
      <c r="AH6" s="66"/>
      <c r="AI6" s="66"/>
      <c r="AJ6" s="67"/>
      <c r="AL6" s="74">
        <f>GETPIVOTDATA("DuoiSafety",'2. Inventory'!$BR$2)</f>
        <v>40</v>
      </c>
      <c r="AM6" s="75"/>
      <c r="AN6" s="75"/>
      <c r="AO6" s="75"/>
      <c r="AP6" s="75"/>
      <c r="AQ6" s="75"/>
      <c r="AR6" s="76"/>
      <c r="BR6"/>
      <c r="BS6"/>
      <c r="BT6"/>
    </row>
    <row r="7" spans="2:74" x14ac:dyDescent="0.3">
      <c r="B7" s="86"/>
      <c r="C7" s="87"/>
      <c r="D7" s="87"/>
      <c r="E7" s="87"/>
      <c r="F7" s="87"/>
      <c r="G7" s="87"/>
      <c r="H7" s="87"/>
      <c r="I7" s="87"/>
      <c r="J7" s="88"/>
      <c r="L7" s="68"/>
      <c r="M7" s="69"/>
      <c r="N7" s="69"/>
      <c r="O7" s="69"/>
      <c r="P7" s="69"/>
      <c r="Q7" s="69"/>
      <c r="R7" s="69"/>
      <c r="S7" s="69"/>
      <c r="T7" s="70"/>
      <c r="V7" s="95"/>
      <c r="W7" s="96"/>
      <c r="X7" s="96"/>
      <c r="Y7" s="96"/>
      <c r="Z7" s="96"/>
      <c r="AA7" s="96"/>
      <c r="AB7" s="97"/>
      <c r="AD7" s="68"/>
      <c r="AE7" s="69"/>
      <c r="AF7" s="69"/>
      <c r="AG7" s="69"/>
      <c r="AH7" s="69"/>
      <c r="AI7" s="69"/>
      <c r="AJ7" s="70"/>
      <c r="AL7" s="77"/>
      <c r="AM7" s="78"/>
      <c r="AN7" s="78"/>
      <c r="AO7" s="78"/>
      <c r="AP7" s="78"/>
      <c r="AQ7" s="78"/>
      <c r="AR7" s="79"/>
      <c r="BR7"/>
      <c r="BS7"/>
      <c r="BT7"/>
    </row>
    <row r="8" spans="2:74" x14ac:dyDescent="0.3">
      <c r="B8" s="89"/>
      <c r="C8" s="90"/>
      <c r="D8" s="90"/>
      <c r="E8" s="90"/>
      <c r="F8" s="90"/>
      <c r="G8" s="90"/>
      <c r="H8" s="90"/>
      <c r="I8" s="90"/>
      <c r="J8" s="91"/>
      <c r="L8" s="71"/>
      <c r="M8" s="72"/>
      <c r="N8" s="72"/>
      <c r="O8" s="72"/>
      <c r="P8" s="72"/>
      <c r="Q8" s="72"/>
      <c r="R8" s="72"/>
      <c r="S8" s="72"/>
      <c r="T8" s="73"/>
      <c r="V8" s="98"/>
      <c r="W8" s="99"/>
      <c r="X8" s="99"/>
      <c r="Y8" s="99"/>
      <c r="Z8" s="99"/>
      <c r="AA8" s="99"/>
      <c r="AB8" s="100"/>
      <c r="AD8" s="71"/>
      <c r="AE8" s="72"/>
      <c r="AF8" s="72"/>
      <c r="AG8" s="72"/>
      <c r="AH8" s="72"/>
      <c r="AI8" s="72"/>
      <c r="AJ8" s="73"/>
      <c r="AL8" s="80"/>
      <c r="AM8" s="81"/>
      <c r="AN8" s="81"/>
      <c r="AO8" s="81"/>
      <c r="AP8" s="81"/>
      <c r="AQ8" s="81"/>
      <c r="AR8" s="82"/>
      <c r="BR8"/>
      <c r="BS8"/>
      <c r="BT8"/>
    </row>
    <row r="9" spans="2:74" x14ac:dyDescent="0.3">
      <c r="BR9"/>
      <c r="BS9"/>
      <c r="BT9"/>
    </row>
    <row r="10" spans="2:74" x14ac:dyDescent="0.3">
      <c r="BR10"/>
      <c r="BS10"/>
      <c r="BT10"/>
    </row>
    <row r="11" spans="2:74" x14ac:dyDescent="0.3">
      <c r="BR11"/>
      <c r="BS11"/>
      <c r="BT11"/>
    </row>
    <row r="12" spans="2:74" x14ac:dyDescent="0.3">
      <c r="BR12"/>
      <c r="BS12"/>
      <c r="BT12"/>
    </row>
    <row r="13" spans="2:74" x14ac:dyDescent="0.3">
      <c r="BR13"/>
      <c r="BS13"/>
      <c r="BT13"/>
    </row>
    <row r="14" spans="2:74" x14ac:dyDescent="0.3">
      <c r="BR14"/>
      <c r="BS14"/>
      <c r="BT14"/>
    </row>
    <row r="15" spans="2:74" x14ac:dyDescent="0.3">
      <c r="BR15"/>
      <c r="BS15"/>
      <c r="BT15"/>
    </row>
    <row r="16" spans="2:74" x14ac:dyDescent="0.3">
      <c r="BR16"/>
      <c r="BS16"/>
      <c r="BT16"/>
    </row>
    <row r="17" spans="2:84" x14ac:dyDescent="0.3">
      <c r="BR17"/>
      <c r="BS17"/>
      <c r="BT17"/>
    </row>
    <row r="18" spans="2:84" x14ac:dyDescent="0.3">
      <c r="B18" s="35" t="s">
        <v>779</v>
      </c>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BR18"/>
      <c r="BS18"/>
      <c r="BT18"/>
    </row>
    <row r="19" spans="2:84" x14ac:dyDescent="0.3">
      <c r="BR19"/>
      <c r="BS19"/>
      <c r="BT19"/>
    </row>
    <row r="20" spans="2:84" x14ac:dyDescent="0.3">
      <c r="BX20" s="6" t="s">
        <v>761</v>
      </c>
      <c r="BY20" t="s">
        <v>778</v>
      </c>
      <c r="BZ20"/>
      <c r="CD20" s="6" t="s">
        <v>761</v>
      </c>
      <c r="CE20" t="s">
        <v>778</v>
      </c>
      <c r="CF20"/>
    </row>
    <row r="21" spans="2:84" x14ac:dyDescent="0.3">
      <c r="BX21" s="7" t="s">
        <v>61</v>
      </c>
      <c r="BY21" s="5">
        <v>1629770000</v>
      </c>
      <c r="BZ21"/>
      <c r="CD21" s="7" t="s">
        <v>139</v>
      </c>
      <c r="CE21" s="5">
        <v>1358720000</v>
      </c>
      <c r="CF21"/>
    </row>
    <row r="22" spans="2:84" x14ac:dyDescent="0.3">
      <c r="BX22" s="7" t="s">
        <v>88</v>
      </c>
      <c r="BY22" s="5">
        <v>1503460000</v>
      </c>
      <c r="BZ22"/>
      <c r="CD22" s="7" t="s">
        <v>87</v>
      </c>
      <c r="CE22" s="5">
        <v>1340800000</v>
      </c>
      <c r="CF22"/>
    </row>
    <row r="23" spans="2:84" x14ac:dyDescent="0.3">
      <c r="BX23" s="7" t="s">
        <v>117</v>
      </c>
      <c r="BY23" s="5">
        <v>1723270000</v>
      </c>
      <c r="BZ23"/>
      <c r="CD23" s="7" t="s">
        <v>102</v>
      </c>
      <c r="CE23" s="5">
        <v>1207820000</v>
      </c>
      <c r="CF23"/>
    </row>
    <row r="24" spans="2:84" x14ac:dyDescent="0.3">
      <c r="BX24" s="7" t="s">
        <v>74</v>
      </c>
      <c r="BY24" s="5">
        <v>1535270000</v>
      </c>
      <c r="BZ24"/>
      <c r="CD24" s="7" t="s">
        <v>72</v>
      </c>
      <c r="CE24" s="5">
        <v>1047240000</v>
      </c>
      <c r="CF24"/>
    </row>
    <row r="25" spans="2:84" x14ac:dyDescent="0.3">
      <c r="BX25" s="7" t="s">
        <v>762</v>
      </c>
      <c r="BY25" s="5">
        <v>6391770000</v>
      </c>
      <c r="BZ25"/>
      <c r="CD25" s="7" t="s">
        <v>110</v>
      </c>
      <c r="CE25" s="5">
        <v>971400000</v>
      </c>
      <c r="CF25"/>
    </row>
    <row r="26" spans="2:84" x14ac:dyDescent="0.3">
      <c r="BX26"/>
      <c r="BY26"/>
      <c r="BZ26"/>
      <c r="CD26" s="7" t="s">
        <v>59</v>
      </c>
      <c r="CE26" s="5">
        <v>465790000</v>
      </c>
      <c r="CF26"/>
    </row>
    <row r="27" spans="2:84" x14ac:dyDescent="0.3">
      <c r="BX27"/>
      <c r="BY27"/>
      <c r="BZ27"/>
      <c r="CD27" s="7" t="s">
        <v>762</v>
      </c>
      <c r="CE27" s="5">
        <v>6391770000</v>
      </c>
      <c r="CF27"/>
    </row>
    <row r="28" spans="2:84" x14ac:dyDescent="0.3">
      <c r="BX28"/>
      <c r="BY28"/>
      <c r="BZ28"/>
      <c r="CD28"/>
      <c r="CE28"/>
      <c r="CF28"/>
    </row>
    <row r="29" spans="2:84" x14ac:dyDescent="0.3">
      <c r="BX29"/>
      <c r="BY29"/>
      <c r="BZ29"/>
      <c r="CD29"/>
      <c r="CE29"/>
      <c r="CF29"/>
    </row>
    <row r="30" spans="2:84" x14ac:dyDescent="0.3">
      <c r="BX30"/>
      <c r="BY30"/>
      <c r="BZ30"/>
      <c r="CD30"/>
      <c r="CE30"/>
      <c r="CF30"/>
    </row>
    <row r="31" spans="2:84" x14ac:dyDescent="0.3">
      <c r="BX31"/>
      <c r="BY31"/>
      <c r="BZ31"/>
      <c r="CD31"/>
      <c r="CE31"/>
      <c r="CF31"/>
    </row>
    <row r="32" spans="2:84" x14ac:dyDescent="0.3">
      <c r="BX32"/>
      <c r="BY32"/>
      <c r="BZ32"/>
      <c r="CD32"/>
      <c r="CE32"/>
      <c r="CF32"/>
    </row>
    <row r="33" spans="2:84" x14ac:dyDescent="0.3">
      <c r="BX33"/>
      <c r="BY33"/>
      <c r="BZ33"/>
      <c r="CD33"/>
      <c r="CE33"/>
      <c r="CF33"/>
    </row>
    <row r="34" spans="2:84" x14ac:dyDescent="0.3">
      <c r="BX34"/>
      <c r="BY34"/>
      <c r="BZ34"/>
      <c r="CD34"/>
      <c r="CE34"/>
      <c r="CF34"/>
    </row>
    <row r="35" spans="2:84" x14ac:dyDescent="0.3">
      <c r="BX35"/>
      <c r="BY35"/>
      <c r="BZ35"/>
      <c r="CD35"/>
      <c r="CE35"/>
      <c r="CF35"/>
    </row>
    <row r="36" spans="2:84" x14ac:dyDescent="0.3">
      <c r="BX36"/>
      <c r="BY36"/>
      <c r="BZ36"/>
      <c r="CD36"/>
      <c r="CE36"/>
      <c r="CF36"/>
    </row>
    <row r="37" spans="2:84" x14ac:dyDescent="0.3">
      <c r="BX37"/>
      <c r="BY37"/>
      <c r="BZ37"/>
      <c r="CD37"/>
      <c r="CE37"/>
      <c r="CF37"/>
    </row>
    <row r="42" spans="2:84" x14ac:dyDescent="0.3">
      <c r="B42" s="35" t="s">
        <v>780</v>
      </c>
      <c r="C42" s="35"/>
      <c r="D42" s="35"/>
      <c r="E42" s="35"/>
      <c r="F42" s="35"/>
      <c r="G42" s="35"/>
      <c r="H42" s="35"/>
      <c r="I42" s="35"/>
      <c r="J42" s="35"/>
      <c r="K42" s="35"/>
      <c r="L42" s="35"/>
      <c r="M42" s="35"/>
      <c r="N42" s="35"/>
      <c r="O42" s="35"/>
      <c r="P42" s="35"/>
      <c r="Q42" s="35"/>
      <c r="R42" s="35"/>
      <c r="S42" s="35"/>
    </row>
    <row r="44" spans="2:84" x14ac:dyDescent="0.3">
      <c r="B44" s="6" t="s">
        <v>778</v>
      </c>
      <c r="C44" s="6" t="s">
        <v>781</v>
      </c>
      <c r="D44"/>
      <c r="E44"/>
      <c r="F44"/>
      <c r="G44"/>
      <c r="V44" s="63" t="s">
        <v>782</v>
      </c>
      <c r="W44" s="63"/>
      <c r="X44" s="63"/>
      <c r="Y44" s="63"/>
      <c r="Z44" s="63"/>
    </row>
    <row r="45" spans="2:84" x14ac:dyDescent="0.3">
      <c r="B45" s="6" t="s">
        <v>761</v>
      </c>
      <c r="C45" t="s">
        <v>61</v>
      </c>
      <c r="D45" t="s">
        <v>88</v>
      </c>
      <c r="E45" t="s">
        <v>117</v>
      </c>
      <c r="F45" t="s">
        <v>74</v>
      </c>
      <c r="G45" t="s">
        <v>762</v>
      </c>
      <c r="V45" s="10" t="s">
        <v>4</v>
      </c>
      <c r="W45" s="10" t="s">
        <v>20</v>
      </c>
      <c r="X45" s="10" t="s">
        <v>27</v>
      </c>
      <c r="Y45" s="10" t="s">
        <v>609</v>
      </c>
      <c r="Z45" s="10" t="s">
        <v>614</v>
      </c>
    </row>
    <row r="46" spans="2:84" x14ac:dyDescent="0.3">
      <c r="B46" s="7" t="s">
        <v>102</v>
      </c>
      <c r="C46" s="8">
        <v>155050000</v>
      </c>
      <c r="D46" s="8">
        <v>262420000</v>
      </c>
      <c r="E46" s="8">
        <v>288220000</v>
      </c>
      <c r="F46" s="8">
        <v>502130000</v>
      </c>
      <c r="G46" s="8">
        <v>1207820000</v>
      </c>
      <c r="V46" s="9" t="s">
        <v>49</v>
      </c>
      <c r="W46" s="9" t="s">
        <v>57</v>
      </c>
      <c r="X46" s="9" t="s">
        <v>61</v>
      </c>
      <c r="Y46" s="9">
        <v>-3</v>
      </c>
      <c r="Z46" s="9">
        <v>30</v>
      </c>
    </row>
    <row r="47" spans="2:84" x14ac:dyDescent="0.3">
      <c r="B47" s="7" t="s">
        <v>139</v>
      </c>
      <c r="C47" s="8">
        <v>457870000</v>
      </c>
      <c r="D47" s="8">
        <v>293730000</v>
      </c>
      <c r="E47" s="8">
        <v>305460000</v>
      </c>
      <c r="F47" s="8">
        <v>301660000</v>
      </c>
      <c r="G47" s="8">
        <v>1358720000</v>
      </c>
      <c r="V47" s="9" t="s">
        <v>152</v>
      </c>
      <c r="W47" s="9" t="s">
        <v>154</v>
      </c>
      <c r="X47" s="9" t="s">
        <v>88</v>
      </c>
      <c r="Y47" s="9">
        <v>-2</v>
      </c>
      <c r="Z47" s="9">
        <v>20</v>
      </c>
    </row>
    <row r="48" spans="2:84" x14ac:dyDescent="0.3">
      <c r="B48" s="7" t="s">
        <v>72</v>
      </c>
      <c r="C48" s="8">
        <v>262860000</v>
      </c>
      <c r="D48" s="8">
        <v>316800000</v>
      </c>
      <c r="E48" s="8">
        <v>307620000</v>
      </c>
      <c r="F48" s="8">
        <v>159960000</v>
      </c>
      <c r="G48" s="8">
        <v>1047240000</v>
      </c>
      <c r="V48" s="9" t="s">
        <v>113</v>
      </c>
      <c r="W48" s="9" t="s">
        <v>116</v>
      </c>
      <c r="X48" s="9" t="s">
        <v>117</v>
      </c>
      <c r="Y48" s="9">
        <v>-7</v>
      </c>
      <c r="Z48" s="9">
        <v>10</v>
      </c>
    </row>
    <row r="49" spans="2:26" x14ac:dyDescent="0.3">
      <c r="B49" s="7" t="s">
        <v>110</v>
      </c>
      <c r="C49" s="8">
        <v>285630000</v>
      </c>
      <c r="D49" s="8">
        <v>259860000</v>
      </c>
      <c r="E49" s="8">
        <v>294160000</v>
      </c>
      <c r="F49" s="8">
        <v>131750000</v>
      </c>
      <c r="G49" s="8">
        <v>971400000</v>
      </c>
      <c r="V49" s="9" t="s">
        <v>113</v>
      </c>
      <c r="W49" s="9" t="s">
        <v>116</v>
      </c>
      <c r="X49" s="9" t="s">
        <v>61</v>
      </c>
      <c r="Y49" s="9">
        <v>-1</v>
      </c>
      <c r="Z49" s="9">
        <v>20</v>
      </c>
    </row>
    <row r="50" spans="2:26" x14ac:dyDescent="0.3">
      <c r="B50" s="7" t="s">
        <v>59</v>
      </c>
      <c r="C50" s="8">
        <v>68170000</v>
      </c>
      <c r="D50" s="8">
        <v>122450000</v>
      </c>
      <c r="E50" s="8">
        <v>135960000</v>
      </c>
      <c r="F50" s="8">
        <v>139210000</v>
      </c>
      <c r="G50" s="8">
        <v>465790000</v>
      </c>
    </row>
    <row r="51" spans="2:26" x14ac:dyDescent="0.3">
      <c r="B51" s="7" t="s">
        <v>87</v>
      </c>
      <c r="C51" s="8">
        <v>400190000</v>
      </c>
      <c r="D51" s="8">
        <v>248200000</v>
      </c>
      <c r="E51" s="8">
        <v>391850000</v>
      </c>
      <c r="F51" s="8">
        <v>300560000</v>
      </c>
      <c r="G51" s="8">
        <v>1340800000</v>
      </c>
    </row>
    <row r="52" spans="2:26" x14ac:dyDescent="0.3">
      <c r="B52" s="7" t="s">
        <v>762</v>
      </c>
      <c r="C52" s="8">
        <v>1629770000</v>
      </c>
      <c r="D52" s="8">
        <v>1503460000</v>
      </c>
      <c r="E52" s="8">
        <v>1723270000</v>
      </c>
      <c r="F52" s="8">
        <v>1535270000</v>
      </c>
      <c r="G52" s="8">
        <v>6391770000</v>
      </c>
      <c r="V52" s="64" t="s">
        <v>783</v>
      </c>
      <c r="W52" s="64"/>
      <c r="X52" s="64"/>
      <c r="Y52" s="64"/>
    </row>
    <row r="53" spans="2:26" x14ac:dyDescent="0.3">
      <c r="B53"/>
      <c r="C53"/>
      <c r="D53"/>
      <c r="V53" s="10" t="s">
        <v>4</v>
      </c>
      <c r="W53" s="10" t="s">
        <v>20</v>
      </c>
      <c r="X53" s="10" t="s">
        <v>609</v>
      </c>
      <c r="Y53" s="10" t="s">
        <v>610</v>
      </c>
    </row>
    <row r="54" spans="2:26" x14ac:dyDescent="0.3">
      <c r="B54"/>
      <c r="C54"/>
      <c r="D54"/>
      <c r="V54" s="9" t="s">
        <v>236</v>
      </c>
      <c r="W54" s="9" t="s">
        <v>237</v>
      </c>
      <c r="X54" s="9">
        <v>502</v>
      </c>
      <c r="Y54" s="11">
        <v>175700000</v>
      </c>
    </row>
    <row r="55" spans="2:26" x14ac:dyDescent="0.3">
      <c r="B55"/>
      <c r="C55"/>
      <c r="D55"/>
      <c r="V55" s="9" t="s">
        <v>132</v>
      </c>
      <c r="W55" s="9" t="s">
        <v>133</v>
      </c>
      <c r="X55" s="9">
        <v>716</v>
      </c>
      <c r="Y55" s="11">
        <v>250600000</v>
      </c>
    </row>
    <row r="56" spans="2:26" x14ac:dyDescent="0.3">
      <c r="B56"/>
      <c r="C56"/>
      <c r="D56"/>
      <c r="V56" s="9" t="s">
        <v>189</v>
      </c>
      <c r="W56" s="9" t="s">
        <v>191</v>
      </c>
      <c r="X56" s="9">
        <v>615</v>
      </c>
      <c r="Y56" s="11">
        <v>153750000</v>
      </c>
    </row>
    <row r="57" spans="2:26" x14ac:dyDescent="0.3">
      <c r="B57"/>
      <c r="C57"/>
      <c r="D57"/>
    </row>
    <row r="58" spans="2:26" x14ac:dyDescent="0.3">
      <c r="B58"/>
      <c r="C58"/>
      <c r="D58"/>
    </row>
    <row r="59" spans="2:26" x14ac:dyDescent="0.3">
      <c r="B59"/>
      <c r="C59"/>
      <c r="D59"/>
    </row>
    <row r="60" spans="2:26" x14ac:dyDescent="0.3">
      <c r="B60"/>
      <c r="C60"/>
      <c r="D60"/>
    </row>
    <row r="61" spans="2:26" x14ac:dyDescent="0.3">
      <c r="B61"/>
      <c r="C61"/>
      <c r="D61"/>
    </row>
  </sheetData>
  <mergeCells count="14">
    <mergeCell ref="V44:Z44"/>
    <mergeCell ref="V52:Y52"/>
    <mergeCell ref="AD5:AJ5"/>
    <mergeCell ref="AD6:AJ8"/>
    <mergeCell ref="AL5:AR5"/>
    <mergeCell ref="AL6:AR8"/>
    <mergeCell ref="B18:AR18"/>
    <mergeCell ref="B42:S42"/>
    <mergeCell ref="B5:J5"/>
    <mergeCell ref="B6:J8"/>
    <mergeCell ref="L5:T5"/>
    <mergeCell ref="L6:T8"/>
    <mergeCell ref="V5:AB5"/>
    <mergeCell ref="V6:AB8"/>
  </mergeCells>
  <conditionalFormatting pivot="1" sqref="C46:G52">
    <cfRule type="colorScale" priority="1">
      <colorScale>
        <cfvo type="min"/>
        <cfvo type="percentile" val="50"/>
        <cfvo type="max"/>
        <color rgb="FFC6EFCE"/>
        <color rgb="FFFFEB9C"/>
        <color rgb="FFFF9999"/>
      </colorScale>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8851F-1525-4A83-8F75-E5A739FD448C}">
  <dimension ref="B2:AR74"/>
  <sheetViews>
    <sheetView showGridLines="0" workbookViewId="0"/>
  </sheetViews>
  <sheetFormatPr defaultRowHeight="14.4" x14ac:dyDescent="0.3"/>
  <cols>
    <col min="1" max="1" width="2.21875" style="2" customWidth="1"/>
    <col min="2" max="2" width="10.77734375" style="2" customWidth="1"/>
    <col min="3" max="3" width="32.77734375" style="2" customWidth="1"/>
    <col min="4" max="4" width="30.77734375" style="2" customWidth="1"/>
    <col min="5" max="5" width="24.77734375" style="2" customWidth="1"/>
    <col min="6" max="6" width="20.77734375" style="2" customWidth="1"/>
    <col min="7" max="7" width="22.77734375" style="2" customWidth="1"/>
    <col min="8" max="8" width="9.77734375" style="2" customWidth="1"/>
    <col min="9" max="21" width="3.21875" style="2" customWidth="1"/>
    <col min="22" max="22" width="6.77734375" style="2" customWidth="1"/>
    <col min="23" max="23" width="8.77734375" style="2" customWidth="1"/>
    <col min="24" max="24" width="54.77734375" style="2" customWidth="1"/>
    <col min="25" max="74" width="3.21875" style="2" customWidth="1"/>
    <col min="75" max="16384" width="8.88671875" style="2"/>
  </cols>
  <sheetData>
    <row r="2" spans="2:44" ht="25.8" x14ac:dyDescent="0.5">
      <c r="B2" s="3" t="s">
        <v>784</v>
      </c>
    </row>
    <row r="3" spans="2:44" x14ac:dyDescent="0.3">
      <c r="B3" s="4" t="s">
        <v>785</v>
      </c>
    </row>
    <row r="5" spans="2:44" x14ac:dyDescent="0.3">
      <c r="B5" s="14" t="s">
        <v>786</v>
      </c>
      <c r="C5" s="15"/>
      <c r="D5" s="15"/>
      <c r="E5" s="15"/>
      <c r="F5" s="15"/>
      <c r="G5" s="15"/>
      <c r="H5" s="16"/>
      <c r="J5" s="14" t="s">
        <v>787</v>
      </c>
      <c r="K5" s="15"/>
      <c r="L5" s="15"/>
      <c r="M5" s="15"/>
      <c r="N5" s="15"/>
      <c r="O5" s="15"/>
      <c r="P5" s="16"/>
      <c r="R5" s="14" t="s">
        <v>788</v>
      </c>
      <c r="S5" s="15"/>
      <c r="T5" s="15"/>
      <c r="U5" s="15"/>
      <c r="V5" s="15"/>
      <c r="W5" s="15"/>
      <c r="X5" s="16"/>
      <c r="Z5" s="14" t="s">
        <v>789</v>
      </c>
      <c r="AA5" s="15"/>
      <c r="AB5" s="15"/>
      <c r="AC5" s="15"/>
      <c r="AD5" s="15"/>
      <c r="AE5" s="15"/>
      <c r="AF5" s="16"/>
      <c r="AH5" s="14" t="s">
        <v>790</v>
      </c>
      <c r="AI5" s="15"/>
      <c r="AJ5" s="15"/>
      <c r="AK5" s="15"/>
      <c r="AL5" s="15"/>
      <c r="AM5" s="15"/>
      <c r="AN5" s="15"/>
      <c r="AO5" s="15"/>
      <c r="AP5" s="15"/>
      <c r="AQ5" s="15"/>
      <c r="AR5" s="16"/>
    </row>
    <row r="6" spans="2:44" x14ac:dyDescent="0.3">
      <c r="B6" s="120">
        <f t="shared" ref="B6" si="0">97.79/100</f>
        <v>0.9779000000000001</v>
      </c>
      <c r="C6" s="121"/>
      <c r="D6" s="121"/>
      <c r="E6" s="121"/>
      <c r="F6" s="121"/>
      <c r="G6" s="121"/>
      <c r="H6" s="122"/>
      <c r="J6" s="120">
        <f t="shared" ref="J6" si="1">98.27/100</f>
        <v>0.98269999999999991</v>
      </c>
      <c r="K6" s="121"/>
      <c r="L6" s="121"/>
      <c r="M6" s="121"/>
      <c r="N6" s="121"/>
      <c r="O6" s="121"/>
      <c r="P6" s="122"/>
      <c r="R6" s="129">
        <f t="shared" ref="R6" si="2">13.94/100</f>
        <v>0.1394</v>
      </c>
      <c r="S6" s="130"/>
      <c r="T6" s="130"/>
      <c r="U6" s="130"/>
      <c r="V6" s="130"/>
      <c r="W6" s="130"/>
      <c r="X6" s="131"/>
      <c r="Z6" s="102">
        <f t="shared" ref="Z6" si="3">2.82/100</f>
        <v>2.8199999999999999E-2</v>
      </c>
      <c r="AA6" s="103"/>
      <c r="AB6" s="103"/>
      <c r="AC6" s="103"/>
      <c r="AD6" s="103"/>
      <c r="AE6" s="103"/>
      <c r="AF6" s="104"/>
      <c r="AH6" s="111">
        <f t="shared" ref="AH6" si="4">-5.63/100</f>
        <v>-5.6299999999999996E-2</v>
      </c>
      <c r="AI6" s="112"/>
      <c r="AJ6" s="112"/>
      <c r="AK6" s="112"/>
      <c r="AL6" s="112"/>
      <c r="AM6" s="112"/>
      <c r="AN6" s="112"/>
      <c r="AO6" s="112"/>
      <c r="AP6" s="112"/>
      <c r="AQ6" s="112"/>
      <c r="AR6" s="113"/>
    </row>
    <row r="7" spans="2:44" x14ac:dyDescent="0.3">
      <c r="B7" s="123"/>
      <c r="C7" s="124"/>
      <c r="D7" s="124"/>
      <c r="E7" s="124"/>
      <c r="F7" s="124"/>
      <c r="G7" s="124"/>
      <c r="H7" s="125"/>
      <c r="J7" s="123"/>
      <c r="K7" s="124"/>
      <c r="L7" s="124"/>
      <c r="M7" s="124"/>
      <c r="N7" s="124"/>
      <c r="O7" s="124"/>
      <c r="P7" s="125"/>
      <c r="R7" s="132"/>
      <c r="S7" s="133"/>
      <c r="T7" s="133"/>
      <c r="U7" s="133"/>
      <c r="V7" s="133"/>
      <c r="W7" s="133"/>
      <c r="X7" s="134"/>
      <c r="Z7" s="105"/>
      <c r="AA7" s="106"/>
      <c r="AB7" s="106"/>
      <c r="AC7" s="106"/>
      <c r="AD7" s="106"/>
      <c r="AE7" s="106"/>
      <c r="AF7" s="107"/>
      <c r="AH7" s="114"/>
      <c r="AI7" s="115"/>
      <c r="AJ7" s="115"/>
      <c r="AK7" s="115"/>
      <c r="AL7" s="115"/>
      <c r="AM7" s="115"/>
      <c r="AN7" s="115"/>
      <c r="AO7" s="115"/>
      <c r="AP7" s="115"/>
      <c r="AQ7" s="115"/>
      <c r="AR7" s="116"/>
    </row>
    <row r="8" spans="2:44" x14ac:dyDescent="0.3">
      <c r="B8" s="126"/>
      <c r="C8" s="127"/>
      <c r="D8" s="127"/>
      <c r="E8" s="127"/>
      <c r="F8" s="127"/>
      <c r="G8" s="127"/>
      <c r="H8" s="128"/>
      <c r="J8" s="126"/>
      <c r="K8" s="127"/>
      <c r="L8" s="127"/>
      <c r="M8" s="127"/>
      <c r="N8" s="127"/>
      <c r="O8" s="127"/>
      <c r="P8" s="128"/>
      <c r="R8" s="135"/>
      <c r="S8" s="136"/>
      <c r="T8" s="136"/>
      <c r="U8" s="136"/>
      <c r="V8" s="136"/>
      <c r="W8" s="136"/>
      <c r="X8" s="137"/>
      <c r="Z8" s="108"/>
      <c r="AA8" s="109"/>
      <c r="AB8" s="109"/>
      <c r="AC8" s="109"/>
      <c r="AD8" s="109"/>
      <c r="AE8" s="109"/>
      <c r="AF8" s="110"/>
      <c r="AH8" s="117"/>
      <c r="AI8" s="118"/>
      <c r="AJ8" s="118"/>
      <c r="AK8" s="118"/>
      <c r="AL8" s="118"/>
      <c r="AM8" s="118"/>
      <c r="AN8" s="118"/>
      <c r="AO8" s="118"/>
      <c r="AP8" s="118"/>
      <c r="AQ8" s="118"/>
      <c r="AR8" s="119"/>
    </row>
    <row r="10" spans="2:44" x14ac:dyDescent="0.3">
      <c r="B10" s="35" t="s">
        <v>791</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row>
    <row r="29" spans="2:44" x14ac:dyDescent="0.3">
      <c r="B29" s="35" t="s">
        <v>792</v>
      </c>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row>
    <row r="31" spans="2:44" x14ac:dyDescent="0.3">
      <c r="B31" s="101" t="s">
        <v>793</v>
      </c>
      <c r="C31" s="101"/>
      <c r="D31" s="101"/>
      <c r="E31" s="101"/>
      <c r="F31" s="101"/>
    </row>
    <row r="32" spans="2:44" x14ac:dyDescent="0.3">
      <c r="B32" s="10" t="s">
        <v>676</v>
      </c>
      <c r="C32" s="10" t="s">
        <v>677</v>
      </c>
      <c r="D32" s="10" t="s">
        <v>678</v>
      </c>
      <c r="E32" s="10" t="s">
        <v>679</v>
      </c>
      <c r="F32" s="10" t="s">
        <v>680</v>
      </c>
    </row>
    <row r="33" spans="2:44" x14ac:dyDescent="0.3">
      <c r="B33" s="9" t="s">
        <v>681</v>
      </c>
      <c r="C33" s="9" t="s">
        <v>682</v>
      </c>
      <c r="D33" s="9" t="s">
        <v>683</v>
      </c>
      <c r="E33" s="9" t="s">
        <v>684</v>
      </c>
      <c r="F33" s="9" t="s">
        <v>685</v>
      </c>
    </row>
    <row r="34" spans="2:44" x14ac:dyDescent="0.3">
      <c r="B34" s="9" t="s">
        <v>686</v>
      </c>
      <c r="C34" s="9" t="s">
        <v>687</v>
      </c>
      <c r="D34" s="9" t="s">
        <v>688</v>
      </c>
      <c r="E34" s="9" t="s">
        <v>689</v>
      </c>
      <c r="F34" s="9" t="s">
        <v>690</v>
      </c>
    </row>
    <row r="35" spans="2:44" x14ac:dyDescent="0.3">
      <c r="B35" s="9" t="s">
        <v>691</v>
      </c>
      <c r="C35" s="9" t="s">
        <v>692</v>
      </c>
      <c r="D35" s="9" t="s">
        <v>693</v>
      </c>
      <c r="E35" s="9" t="s">
        <v>694</v>
      </c>
      <c r="F35" s="9" t="s">
        <v>695</v>
      </c>
    </row>
    <row r="36" spans="2:44" x14ac:dyDescent="0.3">
      <c r="B36" s="12" t="s">
        <v>794</v>
      </c>
    </row>
    <row r="37" spans="2:44" x14ac:dyDescent="0.3">
      <c r="B37" s="13" t="s">
        <v>795</v>
      </c>
    </row>
    <row r="40" spans="2:44" x14ac:dyDescent="0.3">
      <c r="B40" s="35" t="s">
        <v>796</v>
      </c>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row>
    <row r="42" spans="2:44" x14ac:dyDescent="0.3">
      <c r="B42" s="10" t="s">
        <v>696</v>
      </c>
      <c r="C42" s="10" t="s">
        <v>697</v>
      </c>
      <c r="D42" s="10" t="s">
        <v>698</v>
      </c>
      <c r="E42" s="10" t="s">
        <v>699</v>
      </c>
      <c r="F42" s="10" t="s">
        <v>700</v>
      </c>
      <c r="G42" s="10" t="s">
        <v>701</v>
      </c>
      <c r="H42" s="10" t="s">
        <v>645</v>
      </c>
    </row>
    <row r="43" spans="2:44" x14ac:dyDescent="0.3">
      <c r="B43" s="9">
        <v>1</v>
      </c>
      <c r="C43" s="9" t="s">
        <v>696</v>
      </c>
      <c r="D43" s="9" t="s">
        <v>702</v>
      </c>
      <c r="E43" s="9" t="s">
        <v>703</v>
      </c>
      <c r="F43" s="9" t="s">
        <v>704</v>
      </c>
      <c r="G43" s="9" t="s">
        <v>705</v>
      </c>
      <c r="H43" s="9" t="s">
        <v>648</v>
      </c>
    </row>
    <row r="44" spans="2:44" x14ac:dyDescent="0.3">
      <c r="B44" s="9">
        <v>2</v>
      </c>
      <c r="C44" s="9" t="s">
        <v>706</v>
      </c>
      <c r="D44" s="9" t="s">
        <v>707</v>
      </c>
      <c r="E44" s="9" t="s">
        <v>703</v>
      </c>
      <c r="F44" s="9" t="s">
        <v>708</v>
      </c>
      <c r="G44" s="9" t="s">
        <v>709</v>
      </c>
      <c r="H44" s="9" t="s">
        <v>651</v>
      </c>
    </row>
    <row r="45" spans="2:44" x14ac:dyDescent="0.3">
      <c r="B45" s="9">
        <v>3</v>
      </c>
      <c r="C45" s="9" t="s">
        <v>706</v>
      </c>
      <c r="D45" s="9" t="s">
        <v>710</v>
      </c>
      <c r="E45" s="9" t="s">
        <v>711</v>
      </c>
      <c r="F45" s="9" t="s">
        <v>712</v>
      </c>
      <c r="G45" s="9" t="s">
        <v>713</v>
      </c>
      <c r="H45" s="9" t="s">
        <v>653</v>
      </c>
    </row>
    <row r="46" spans="2:44" x14ac:dyDescent="0.3">
      <c r="B46" s="9">
        <v>4</v>
      </c>
      <c r="C46" s="9" t="s">
        <v>706</v>
      </c>
      <c r="D46" s="9" t="s">
        <v>714</v>
      </c>
      <c r="E46" s="9" t="s">
        <v>703</v>
      </c>
      <c r="F46" s="9" t="s">
        <v>715</v>
      </c>
      <c r="G46" s="9" t="s">
        <v>716</v>
      </c>
      <c r="H46" s="9" t="s">
        <v>655</v>
      </c>
    </row>
    <row r="47" spans="2:44" x14ac:dyDescent="0.3">
      <c r="B47" s="9">
        <v>5</v>
      </c>
      <c r="C47" s="9" t="s">
        <v>706</v>
      </c>
      <c r="D47" s="9" t="s">
        <v>717</v>
      </c>
      <c r="E47" s="9" t="s">
        <v>703</v>
      </c>
      <c r="F47" s="9" t="s">
        <v>715</v>
      </c>
      <c r="G47" s="9" t="s">
        <v>718</v>
      </c>
      <c r="H47" s="9" t="s">
        <v>667</v>
      </c>
    </row>
    <row r="48" spans="2:44" x14ac:dyDescent="0.3">
      <c r="B48" s="9">
        <v>6</v>
      </c>
      <c r="C48" s="9" t="s">
        <v>706</v>
      </c>
      <c r="D48" s="9" t="s">
        <v>719</v>
      </c>
      <c r="E48" s="9" t="s">
        <v>703</v>
      </c>
      <c r="F48" s="9" t="s">
        <v>715</v>
      </c>
      <c r="G48" s="9" t="s">
        <v>720</v>
      </c>
      <c r="H48" s="9" t="s">
        <v>721</v>
      </c>
    </row>
    <row r="49" spans="2:44" x14ac:dyDescent="0.3">
      <c r="B49" s="9">
        <v>7</v>
      </c>
      <c r="C49" s="9" t="s">
        <v>706</v>
      </c>
      <c r="D49" s="9" t="s">
        <v>722</v>
      </c>
      <c r="E49" s="9" t="s">
        <v>723</v>
      </c>
      <c r="F49" s="9" t="s">
        <v>724</v>
      </c>
      <c r="G49" s="9" t="s">
        <v>725</v>
      </c>
      <c r="H49" s="9" t="s">
        <v>657</v>
      </c>
    </row>
    <row r="50" spans="2:44" x14ac:dyDescent="0.3">
      <c r="B50" s="9">
        <v>8</v>
      </c>
      <c r="C50" s="9" t="s">
        <v>706</v>
      </c>
      <c r="D50" s="9" t="s">
        <v>726</v>
      </c>
      <c r="E50" s="9" t="s">
        <v>723</v>
      </c>
      <c r="F50" s="9" t="s">
        <v>727</v>
      </c>
      <c r="G50" s="9" t="s">
        <v>728</v>
      </c>
      <c r="H50" s="9" t="s">
        <v>659</v>
      </c>
    </row>
    <row r="51" spans="2:44" x14ac:dyDescent="0.3">
      <c r="B51" s="9">
        <v>9</v>
      </c>
      <c r="C51" s="9" t="s">
        <v>696</v>
      </c>
      <c r="D51" s="9" t="s">
        <v>729</v>
      </c>
      <c r="E51" s="9" t="s">
        <v>703</v>
      </c>
      <c r="F51" s="9" t="s">
        <v>730</v>
      </c>
      <c r="G51" s="9" t="s">
        <v>731</v>
      </c>
      <c r="H51" s="9" t="s">
        <v>732</v>
      </c>
    </row>
    <row r="52" spans="2:44" x14ac:dyDescent="0.3">
      <c r="B52" s="9">
        <v>10</v>
      </c>
      <c r="C52" s="9" t="s">
        <v>696</v>
      </c>
      <c r="D52" s="9" t="s">
        <v>733</v>
      </c>
      <c r="E52" s="9" t="s">
        <v>734</v>
      </c>
      <c r="F52" s="9" t="s">
        <v>735</v>
      </c>
      <c r="G52" s="9" t="s">
        <v>736</v>
      </c>
      <c r="H52" s="9" t="s">
        <v>737</v>
      </c>
    </row>
    <row r="53" spans="2:44" x14ac:dyDescent="0.3">
      <c r="B53" s="9">
        <v>11</v>
      </c>
      <c r="C53" s="9" t="s">
        <v>696</v>
      </c>
      <c r="D53" s="9" t="s">
        <v>738</v>
      </c>
      <c r="E53" s="9" t="s">
        <v>723</v>
      </c>
      <c r="F53" s="9" t="s">
        <v>727</v>
      </c>
      <c r="G53" s="9" t="s">
        <v>739</v>
      </c>
      <c r="H53" s="9" t="s">
        <v>740</v>
      </c>
    </row>
    <row r="58" spans="2:44" x14ac:dyDescent="0.3">
      <c r="B58" s="35" t="s">
        <v>797</v>
      </c>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row>
    <row r="60" spans="2:44" x14ac:dyDescent="0.3">
      <c r="V60" s="101" t="s">
        <v>798</v>
      </c>
      <c r="W60" s="101"/>
      <c r="X60" s="101"/>
    </row>
    <row r="61" spans="2:44" x14ac:dyDescent="0.3">
      <c r="V61" s="10" t="s">
        <v>645</v>
      </c>
      <c r="W61" s="10" t="s">
        <v>646</v>
      </c>
      <c r="X61" s="10" t="s">
        <v>647</v>
      </c>
    </row>
    <row r="62" spans="2:44" x14ac:dyDescent="0.3">
      <c r="V62" s="9" t="s">
        <v>648</v>
      </c>
      <c r="W62" s="9" t="s">
        <v>649</v>
      </c>
      <c r="X62" s="9" t="s">
        <v>650</v>
      </c>
    </row>
    <row r="63" spans="2:44" x14ac:dyDescent="0.3">
      <c r="V63" s="9" t="s">
        <v>651</v>
      </c>
      <c r="W63" s="9" t="s">
        <v>649</v>
      </c>
      <c r="X63" s="9" t="s">
        <v>652</v>
      </c>
    </row>
    <row r="64" spans="2:44" x14ac:dyDescent="0.3">
      <c r="V64" s="9" t="s">
        <v>653</v>
      </c>
      <c r="W64" s="9" t="s">
        <v>649</v>
      </c>
      <c r="X64" s="9" t="s">
        <v>654</v>
      </c>
    </row>
    <row r="65" spans="22:24" x14ac:dyDescent="0.3">
      <c r="V65" s="9" t="s">
        <v>655</v>
      </c>
      <c r="W65" s="9" t="s">
        <v>649</v>
      </c>
      <c r="X65" s="9" t="s">
        <v>656</v>
      </c>
    </row>
    <row r="66" spans="22:24" x14ac:dyDescent="0.3">
      <c r="V66" s="9" t="s">
        <v>657</v>
      </c>
      <c r="W66" s="9" t="s">
        <v>649</v>
      </c>
      <c r="X66" s="9" t="s">
        <v>658</v>
      </c>
    </row>
    <row r="67" spans="22:24" x14ac:dyDescent="0.3">
      <c r="V67" s="9" t="s">
        <v>659</v>
      </c>
      <c r="W67" s="9" t="s">
        <v>649</v>
      </c>
      <c r="X67" s="9" t="s">
        <v>660</v>
      </c>
    </row>
    <row r="68" spans="22:24" x14ac:dyDescent="0.3">
      <c r="V68" s="9" t="s">
        <v>661</v>
      </c>
      <c r="W68" s="9" t="s">
        <v>649</v>
      </c>
      <c r="X68" s="9" t="s">
        <v>662</v>
      </c>
    </row>
    <row r="69" spans="22:24" x14ac:dyDescent="0.3">
      <c r="V69" s="9" t="s">
        <v>663</v>
      </c>
      <c r="W69" s="9" t="s">
        <v>649</v>
      </c>
      <c r="X69" s="9" t="s">
        <v>664</v>
      </c>
    </row>
    <row r="70" spans="22:24" x14ac:dyDescent="0.3">
      <c r="V70" s="9" t="s">
        <v>665</v>
      </c>
      <c r="W70" s="9" t="s">
        <v>649</v>
      </c>
      <c r="X70" s="9" t="s">
        <v>666</v>
      </c>
    </row>
    <row r="71" spans="22:24" x14ac:dyDescent="0.3">
      <c r="V71" s="9" t="s">
        <v>667</v>
      </c>
      <c r="W71" s="9" t="s">
        <v>668</v>
      </c>
      <c r="X71" s="9" t="s">
        <v>669</v>
      </c>
    </row>
    <row r="72" spans="22:24" x14ac:dyDescent="0.3">
      <c r="V72" s="9" t="s">
        <v>670</v>
      </c>
      <c r="W72" s="9" t="s">
        <v>668</v>
      </c>
      <c r="X72" s="9" t="s">
        <v>671</v>
      </c>
    </row>
    <row r="73" spans="22:24" x14ac:dyDescent="0.3">
      <c r="V73" s="9" t="s">
        <v>672</v>
      </c>
      <c r="W73" s="9" t="s">
        <v>668</v>
      </c>
      <c r="X73" s="9" t="s">
        <v>673</v>
      </c>
    </row>
    <row r="74" spans="22:24" x14ac:dyDescent="0.3">
      <c r="V74" s="9" t="s">
        <v>674</v>
      </c>
      <c r="W74" s="9" t="s">
        <v>668</v>
      </c>
      <c r="X74" s="9" t="s">
        <v>675</v>
      </c>
    </row>
  </sheetData>
  <mergeCells count="16">
    <mergeCell ref="B31:F31"/>
    <mergeCell ref="B40:AR40"/>
    <mergeCell ref="B58:AR58"/>
    <mergeCell ref="V60:X60"/>
    <mergeCell ref="Z5:AF5"/>
    <mergeCell ref="Z6:AF8"/>
    <mergeCell ref="AH5:AR5"/>
    <mergeCell ref="AH6:AR8"/>
    <mergeCell ref="B10:AR10"/>
    <mergeCell ref="B29:AR29"/>
    <mergeCell ref="B5:H5"/>
    <mergeCell ref="B6:H8"/>
    <mergeCell ref="J5:P5"/>
    <mergeCell ref="J6:P8"/>
    <mergeCell ref="R5:X5"/>
    <mergeCell ref="R6:X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fact_sales</vt:lpstr>
      <vt:lpstr>inv_item</vt:lpstr>
      <vt:lpstr>inv_row</vt:lpstr>
      <vt:lpstr>plan</vt:lpstr>
      <vt:lpstr>dim_product</vt:lpstr>
      <vt:lpstr>dim_customer</vt:lpstr>
      <vt:lpstr>dim_warehouse</vt:lpstr>
      <vt:lpstr>prod_gp</vt:lpstr>
      <vt:lpstr>ach_month</vt:lpstr>
      <vt:lpstr>ach_region</vt:lpstr>
      <vt:lpstr>ach_cat</vt:lpstr>
      <vt:lpstr>scatter</vt:lpstr>
      <vt:lpstr>recon</vt:lpstr>
      <vt:lpstr>scenarios</vt:lpstr>
      <vt:lpstr>checklist</vt:lpstr>
      <vt:lpstr>tiers</vt:lpstr>
      <vt:lpstr>neg_tbl</vt:lpstr>
      <vt:lpstr>disc_tbl</vt:lpstr>
      <vt:lpstr>audit</vt:lpstr>
      <vt:lpstr>pv_score</vt:lpstr>
      <vt:lpstr>waterfall</vt:lpstr>
      <vt:lpstr>1. Executive Sales</vt:lpstr>
      <vt:lpstr>2. Inventory</vt:lpstr>
      <vt:lpstr>3. Data Quality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Thanh An</cp:lastModifiedBy>
  <dcterms:created xsi:type="dcterms:W3CDTF">2026-07-09T10:57:40Z</dcterms:created>
  <dcterms:modified xsi:type="dcterms:W3CDTF">2026-07-09T11:14:51Z</dcterms:modified>
</cp:coreProperties>
</file>